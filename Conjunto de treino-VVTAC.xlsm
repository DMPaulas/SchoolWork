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SIM\"/>
    </mc:Choice>
  </mc:AlternateContent>
  <xr:revisionPtr revIDLastSave="0" documentId="13_ncr:1_{762E2AFE-DBBC-40AE-A5C6-528305C2CD70}" xr6:coauthVersionLast="47" xr6:coauthVersionMax="47" xr10:uidLastSave="{00000000-0000-0000-0000-000000000000}"/>
  <bookViews>
    <workbookView xWindow="-108" yWindow="-108" windowWidth="23256" windowHeight="12456" activeTab="1" xr2:uid="{7805756D-F92F-4F61-A6A7-8840AF3B8D1F}"/>
  </bookViews>
  <sheets>
    <sheet name="OUTPUT" sheetId="4" r:id="rId1"/>
    <sheet name="Info" sheetId="6" r:id="rId2"/>
    <sheet name="Estatistica" sheetId="7" r:id="rId3"/>
    <sheet name="Dataset (sem valores de texto)" sheetId="5" r:id="rId4"/>
  </sheets>
  <functionGroups builtInGroupCount="19"/>
  <definedNames>
    <definedName name="_xlchart.v1.0" hidden="1">'Dataset (sem valores de texto)'!$J$16:$J$561</definedName>
    <definedName name="_xlchart.v1.1" hidden="1">'Dataset (sem valores de texto)'!$C$16:$C$561</definedName>
    <definedName name="_xlchart.v1.2" hidden="1">'Dataset (sem valores de texto)'!$L$15</definedName>
    <definedName name="_xlchart.v1.3" hidden="1">'Dataset (sem valores de texto)'!$L$16:$L$561</definedName>
    <definedName name="_xlchart.v1.4" hidden="1">'Dataset (sem valores de texto)'!$B$16:$B$561</definedName>
    <definedName name="_xlchart.v1.5" hidden="1">'Dataset (sem valores de texto)'!$K$15</definedName>
    <definedName name="_xlchart.v1.6" hidden="1">'Dataset (sem valores de texto)'!$K$16:$K$561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5" l="1"/>
  <c r="F8" i="5"/>
  <c r="K23" i="5"/>
  <c r="B17" i="5"/>
  <c r="J17" i="5"/>
  <c r="K17" i="5"/>
  <c r="B18" i="5"/>
  <c r="J18" i="5"/>
  <c r="K18" i="5"/>
  <c r="B19" i="5"/>
  <c r="J19" i="5"/>
  <c r="K19" i="5"/>
  <c r="B20" i="5"/>
  <c r="J20" i="5"/>
  <c r="K20" i="5"/>
  <c r="B21" i="5"/>
  <c r="J21" i="5"/>
  <c r="K21" i="5"/>
  <c r="B22" i="5"/>
  <c r="J22" i="5"/>
  <c r="K22" i="5"/>
  <c r="B23" i="5"/>
  <c r="J23" i="5"/>
  <c r="B24" i="5"/>
  <c r="J24" i="5"/>
  <c r="K24" i="5"/>
  <c r="B25" i="5"/>
  <c r="J25" i="5"/>
  <c r="K25" i="5"/>
  <c r="B26" i="5"/>
  <c r="J26" i="5"/>
  <c r="K26" i="5"/>
  <c r="B27" i="5"/>
  <c r="J27" i="5"/>
  <c r="K27" i="5"/>
  <c r="B28" i="5"/>
  <c r="J28" i="5"/>
  <c r="K28" i="5"/>
  <c r="B29" i="5"/>
  <c r="J29" i="5"/>
  <c r="K29" i="5"/>
  <c r="B30" i="5"/>
  <c r="J30" i="5"/>
  <c r="K30" i="5"/>
  <c r="B31" i="5"/>
  <c r="J31" i="5"/>
  <c r="K31" i="5"/>
  <c r="B32" i="5"/>
  <c r="J32" i="5"/>
  <c r="K32" i="5"/>
  <c r="B33" i="5"/>
  <c r="J33" i="5"/>
  <c r="K33" i="5"/>
  <c r="B34" i="5"/>
  <c r="J34" i="5"/>
  <c r="K34" i="5"/>
  <c r="B35" i="5"/>
  <c r="J35" i="5"/>
  <c r="K35" i="5"/>
  <c r="B36" i="5"/>
  <c r="J36" i="5"/>
  <c r="K36" i="5"/>
  <c r="B37" i="5"/>
  <c r="J37" i="5"/>
  <c r="K37" i="5"/>
  <c r="B38" i="5"/>
  <c r="J38" i="5"/>
  <c r="K38" i="5"/>
  <c r="B39" i="5"/>
  <c r="J39" i="5"/>
  <c r="K39" i="5"/>
  <c r="B40" i="5"/>
  <c r="J40" i="5"/>
  <c r="K40" i="5"/>
  <c r="B41" i="5"/>
  <c r="J41" i="5"/>
  <c r="K41" i="5"/>
  <c r="B42" i="5"/>
  <c r="J42" i="5"/>
  <c r="K42" i="5"/>
  <c r="B43" i="5"/>
  <c r="J43" i="5"/>
  <c r="K43" i="5"/>
  <c r="B44" i="5"/>
  <c r="J44" i="5"/>
  <c r="K44" i="5"/>
  <c r="B45" i="5"/>
  <c r="J45" i="5"/>
  <c r="K45" i="5"/>
  <c r="B46" i="5"/>
  <c r="J46" i="5"/>
  <c r="K46" i="5"/>
  <c r="B47" i="5"/>
  <c r="J47" i="5"/>
  <c r="K47" i="5"/>
  <c r="B48" i="5"/>
  <c r="J48" i="5"/>
  <c r="K48" i="5"/>
  <c r="B49" i="5"/>
  <c r="J49" i="5"/>
  <c r="K49" i="5"/>
  <c r="B50" i="5"/>
  <c r="J50" i="5"/>
  <c r="K50" i="5"/>
  <c r="B51" i="5"/>
  <c r="J51" i="5"/>
  <c r="K51" i="5"/>
  <c r="B52" i="5"/>
  <c r="J52" i="5"/>
  <c r="K52" i="5"/>
  <c r="B53" i="5"/>
  <c r="J53" i="5"/>
  <c r="K53" i="5"/>
  <c r="B54" i="5"/>
  <c r="J54" i="5"/>
  <c r="K54" i="5"/>
  <c r="B55" i="5"/>
  <c r="J55" i="5"/>
  <c r="K55" i="5"/>
  <c r="B56" i="5"/>
  <c r="J56" i="5"/>
  <c r="K56" i="5"/>
  <c r="B57" i="5"/>
  <c r="J57" i="5"/>
  <c r="K57" i="5"/>
  <c r="B58" i="5"/>
  <c r="J58" i="5"/>
  <c r="K58" i="5"/>
  <c r="B59" i="5"/>
  <c r="J59" i="5"/>
  <c r="K59" i="5"/>
  <c r="B60" i="5"/>
  <c r="J60" i="5"/>
  <c r="K60" i="5"/>
  <c r="B61" i="5"/>
  <c r="J61" i="5"/>
  <c r="K61" i="5"/>
  <c r="B62" i="5"/>
  <c r="J62" i="5"/>
  <c r="K62" i="5"/>
  <c r="B63" i="5"/>
  <c r="J63" i="5"/>
  <c r="K63" i="5"/>
  <c r="B64" i="5"/>
  <c r="J64" i="5"/>
  <c r="K64" i="5"/>
  <c r="B65" i="5"/>
  <c r="J65" i="5"/>
  <c r="K65" i="5"/>
  <c r="B66" i="5"/>
  <c r="J66" i="5"/>
  <c r="K66" i="5"/>
  <c r="B67" i="5"/>
  <c r="J67" i="5"/>
  <c r="K67" i="5"/>
  <c r="B68" i="5"/>
  <c r="J68" i="5"/>
  <c r="K68" i="5"/>
  <c r="B69" i="5"/>
  <c r="J69" i="5"/>
  <c r="K69" i="5"/>
  <c r="B70" i="5"/>
  <c r="J70" i="5"/>
  <c r="K70" i="5"/>
  <c r="B71" i="5"/>
  <c r="J71" i="5"/>
  <c r="K71" i="5"/>
  <c r="B72" i="5"/>
  <c r="J72" i="5"/>
  <c r="K72" i="5"/>
  <c r="B73" i="5"/>
  <c r="J73" i="5"/>
  <c r="K73" i="5"/>
  <c r="B74" i="5"/>
  <c r="J74" i="5"/>
  <c r="K74" i="5"/>
  <c r="B75" i="5"/>
  <c r="J75" i="5"/>
  <c r="K75" i="5"/>
  <c r="B76" i="5"/>
  <c r="J76" i="5"/>
  <c r="K76" i="5"/>
  <c r="B77" i="5"/>
  <c r="J77" i="5"/>
  <c r="K77" i="5"/>
  <c r="B78" i="5"/>
  <c r="J78" i="5"/>
  <c r="K78" i="5"/>
  <c r="B79" i="5"/>
  <c r="J79" i="5"/>
  <c r="K79" i="5"/>
  <c r="B80" i="5"/>
  <c r="J80" i="5"/>
  <c r="K80" i="5"/>
  <c r="B81" i="5"/>
  <c r="J81" i="5"/>
  <c r="K81" i="5"/>
  <c r="B82" i="5"/>
  <c r="J82" i="5"/>
  <c r="K82" i="5"/>
  <c r="B83" i="5"/>
  <c r="J83" i="5"/>
  <c r="K83" i="5"/>
  <c r="B84" i="5"/>
  <c r="J84" i="5"/>
  <c r="K84" i="5"/>
  <c r="B85" i="5"/>
  <c r="J85" i="5"/>
  <c r="K85" i="5"/>
  <c r="B86" i="5"/>
  <c r="J86" i="5"/>
  <c r="K86" i="5"/>
  <c r="B87" i="5"/>
  <c r="J87" i="5"/>
  <c r="K87" i="5"/>
  <c r="B88" i="5"/>
  <c r="J88" i="5"/>
  <c r="K88" i="5"/>
  <c r="B89" i="5"/>
  <c r="J89" i="5"/>
  <c r="K89" i="5"/>
  <c r="B90" i="5"/>
  <c r="J90" i="5"/>
  <c r="K90" i="5"/>
  <c r="B91" i="5"/>
  <c r="J91" i="5"/>
  <c r="K91" i="5"/>
  <c r="B92" i="5"/>
  <c r="J92" i="5"/>
  <c r="K92" i="5"/>
  <c r="B93" i="5"/>
  <c r="J93" i="5"/>
  <c r="K93" i="5"/>
  <c r="B94" i="5"/>
  <c r="J94" i="5"/>
  <c r="K94" i="5"/>
  <c r="B95" i="5"/>
  <c r="J95" i="5"/>
  <c r="K95" i="5"/>
  <c r="B96" i="5"/>
  <c r="J96" i="5"/>
  <c r="K96" i="5"/>
  <c r="B97" i="5"/>
  <c r="J97" i="5"/>
  <c r="K97" i="5"/>
  <c r="B98" i="5"/>
  <c r="J98" i="5"/>
  <c r="K98" i="5"/>
  <c r="B99" i="5"/>
  <c r="J99" i="5"/>
  <c r="K99" i="5"/>
  <c r="B100" i="5"/>
  <c r="J100" i="5"/>
  <c r="K100" i="5"/>
  <c r="B101" i="5"/>
  <c r="J101" i="5"/>
  <c r="K101" i="5"/>
  <c r="B102" i="5"/>
  <c r="J102" i="5"/>
  <c r="K102" i="5"/>
  <c r="B103" i="5"/>
  <c r="J103" i="5"/>
  <c r="K103" i="5"/>
  <c r="B104" i="5"/>
  <c r="J104" i="5"/>
  <c r="K104" i="5"/>
  <c r="B105" i="5"/>
  <c r="J105" i="5"/>
  <c r="K105" i="5"/>
  <c r="B106" i="5"/>
  <c r="J106" i="5"/>
  <c r="K106" i="5"/>
  <c r="B107" i="5"/>
  <c r="J107" i="5"/>
  <c r="K107" i="5"/>
  <c r="B108" i="5"/>
  <c r="J108" i="5"/>
  <c r="K108" i="5"/>
  <c r="B109" i="5"/>
  <c r="J109" i="5"/>
  <c r="K109" i="5"/>
  <c r="B110" i="5"/>
  <c r="J110" i="5"/>
  <c r="K110" i="5"/>
  <c r="B111" i="5"/>
  <c r="J111" i="5"/>
  <c r="K111" i="5"/>
  <c r="B112" i="5"/>
  <c r="J112" i="5"/>
  <c r="K112" i="5"/>
  <c r="B113" i="5"/>
  <c r="J113" i="5"/>
  <c r="K113" i="5"/>
  <c r="B114" i="5"/>
  <c r="J114" i="5"/>
  <c r="K114" i="5"/>
  <c r="B115" i="5"/>
  <c r="J115" i="5"/>
  <c r="K115" i="5"/>
  <c r="B116" i="5"/>
  <c r="J116" i="5"/>
  <c r="K116" i="5"/>
  <c r="B117" i="5"/>
  <c r="J117" i="5"/>
  <c r="K117" i="5"/>
  <c r="B118" i="5"/>
  <c r="J118" i="5"/>
  <c r="K118" i="5"/>
  <c r="B119" i="5"/>
  <c r="J119" i="5"/>
  <c r="K119" i="5"/>
  <c r="B120" i="5"/>
  <c r="J120" i="5"/>
  <c r="K120" i="5"/>
  <c r="B121" i="5"/>
  <c r="J121" i="5"/>
  <c r="K121" i="5"/>
  <c r="B122" i="5"/>
  <c r="J122" i="5"/>
  <c r="K122" i="5"/>
  <c r="B123" i="5"/>
  <c r="J123" i="5"/>
  <c r="K123" i="5"/>
  <c r="B124" i="5"/>
  <c r="J124" i="5"/>
  <c r="K124" i="5"/>
  <c r="B125" i="5"/>
  <c r="J125" i="5"/>
  <c r="K125" i="5"/>
  <c r="B126" i="5"/>
  <c r="J126" i="5"/>
  <c r="K126" i="5"/>
  <c r="B127" i="5"/>
  <c r="J127" i="5"/>
  <c r="K127" i="5"/>
  <c r="B128" i="5"/>
  <c r="J128" i="5"/>
  <c r="K128" i="5"/>
  <c r="B129" i="5"/>
  <c r="J129" i="5"/>
  <c r="K129" i="5"/>
  <c r="B130" i="5"/>
  <c r="J130" i="5"/>
  <c r="K130" i="5"/>
  <c r="B131" i="5"/>
  <c r="J131" i="5"/>
  <c r="K131" i="5"/>
  <c r="B132" i="5"/>
  <c r="J132" i="5"/>
  <c r="K132" i="5"/>
  <c r="B133" i="5"/>
  <c r="J133" i="5"/>
  <c r="K133" i="5"/>
  <c r="B134" i="5"/>
  <c r="J134" i="5"/>
  <c r="K134" i="5"/>
  <c r="B135" i="5"/>
  <c r="J135" i="5"/>
  <c r="K135" i="5"/>
  <c r="B136" i="5"/>
  <c r="J136" i="5"/>
  <c r="K136" i="5"/>
  <c r="B137" i="5"/>
  <c r="J137" i="5"/>
  <c r="K137" i="5"/>
  <c r="B138" i="5"/>
  <c r="J138" i="5"/>
  <c r="K138" i="5"/>
  <c r="B139" i="5"/>
  <c r="J139" i="5"/>
  <c r="K139" i="5"/>
  <c r="B140" i="5"/>
  <c r="J140" i="5"/>
  <c r="K140" i="5"/>
  <c r="B141" i="5"/>
  <c r="J141" i="5"/>
  <c r="K141" i="5"/>
  <c r="B142" i="5"/>
  <c r="J142" i="5"/>
  <c r="K142" i="5"/>
  <c r="B143" i="5"/>
  <c r="J143" i="5"/>
  <c r="K143" i="5"/>
  <c r="B144" i="5"/>
  <c r="J144" i="5"/>
  <c r="K144" i="5"/>
  <c r="B145" i="5"/>
  <c r="J145" i="5"/>
  <c r="K145" i="5"/>
  <c r="B146" i="5"/>
  <c r="J146" i="5"/>
  <c r="K146" i="5"/>
  <c r="B147" i="5"/>
  <c r="J147" i="5"/>
  <c r="K147" i="5"/>
  <c r="B148" i="5"/>
  <c r="J148" i="5"/>
  <c r="K148" i="5"/>
  <c r="B149" i="5"/>
  <c r="J149" i="5"/>
  <c r="K149" i="5"/>
  <c r="B150" i="5"/>
  <c r="J150" i="5"/>
  <c r="K150" i="5"/>
  <c r="B151" i="5"/>
  <c r="J151" i="5"/>
  <c r="K151" i="5"/>
  <c r="B152" i="5"/>
  <c r="J152" i="5"/>
  <c r="K152" i="5"/>
  <c r="B153" i="5"/>
  <c r="J153" i="5"/>
  <c r="K153" i="5"/>
  <c r="B154" i="5"/>
  <c r="J154" i="5"/>
  <c r="K154" i="5"/>
  <c r="B155" i="5"/>
  <c r="J155" i="5"/>
  <c r="K155" i="5"/>
  <c r="B156" i="5"/>
  <c r="J156" i="5"/>
  <c r="K156" i="5"/>
  <c r="B157" i="5"/>
  <c r="J157" i="5"/>
  <c r="K157" i="5"/>
  <c r="B158" i="5"/>
  <c r="J158" i="5"/>
  <c r="K158" i="5"/>
  <c r="B159" i="5"/>
  <c r="J159" i="5"/>
  <c r="K159" i="5"/>
  <c r="B160" i="5"/>
  <c r="J160" i="5"/>
  <c r="K160" i="5"/>
  <c r="B161" i="5"/>
  <c r="J161" i="5"/>
  <c r="K161" i="5"/>
  <c r="B162" i="5"/>
  <c r="J162" i="5"/>
  <c r="K162" i="5"/>
  <c r="B163" i="5"/>
  <c r="J163" i="5"/>
  <c r="K163" i="5"/>
  <c r="B164" i="5"/>
  <c r="J164" i="5"/>
  <c r="K164" i="5"/>
  <c r="B165" i="5"/>
  <c r="J165" i="5"/>
  <c r="K165" i="5"/>
  <c r="B166" i="5"/>
  <c r="J166" i="5"/>
  <c r="K166" i="5"/>
  <c r="B167" i="5"/>
  <c r="J167" i="5"/>
  <c r="K167" i="5"/>
  <c r="B168" i="5"/>
  <c r="J168" i="5"/>
  <c r="K168" i="5"/>
  <c r="B169" i="5"/>
  <c r="J169" i="5"/>
  <c r="K169" i="5"/>
  <c r="B170" i="5"/>
  <c r="J170" i="5"/>
  <c r="K170" i="5"/>
  <c r="B171" i="5"/>
  <c r="J171" i="5"/>
  <c r="K171" i="5"/>
  <c r="B172" i="5"/>
  <c r="J172" i="5"/>
  <c r="K172" i="5"/>
  <c r="B173" i="5"/>
  <c r="J173" i="5"/>
  <c r="K173" i="5"/>
  <c r="B174" i="5"/>
  <c r="J174" i="5"/>
  <c r="K174" i="5"/>
  <c r="B175" i="5"/>
  <c r="J175" i="5"/>
  <c r="K175" i="5"/>
  <c r="B176" i="5"/>
  <c r="J176" i="5"/>
  <c r="K176" i="5"/>
  <c r="B177" i="5"/>
  <c r="J177" i="5"/>
  <c r="K177" i="5"/>
  <c r="B178" i="5"/>
  <c r="J178" i="5"/>
  <c r="K178" i="5"/>
  <c r="B179" i="5"/>
  <c r="J179" i="5"/>
  <c r="K179" i="5"/>
  <c r="B180" i="5"/>
  <c r="J180" i="5"/>
  <c r="K180" i="5"/>
  <c r="B181" i="5"/>
  <c r="J181" i="5"/>
  <c r="K181" i="5"/>
  <c r="B182" i="5"/>
  <c r="J182" i="5"/>
  <c r="K182" i="5"/>
  <c r="B183" i="5"/>
  <c r="J183" i="5"/>
  <c r="K183" i="5"/>
  <c r="B184" i="5"/>
  <c r="J184" i="5"/>
  <c r="K184" i="5"/>
  <c r="B185" i="5"/>
  <c r="J185" i="5"/>
  <c r="K185" i="5"/>
  <c r="B186" i="5"/>
  <c r="J186" i="5"/>
  <c r="K186" i="5"/>
  <c r="B187" i="5"/>
  <c r="J187" i="5"/>
  <c r="K187" i="5"/>
  <c r="B188" i="5"/>
  <c r="J188" i="5"/>
  <c r="K188" i="5"/>
  <c r="B189" i="5"/>
  <c r="J189" i="5"/>
  <c r="K189" i="5"/>
  <c r="B190" i="5"/>
  <c r="J190" i="5"/>
  <c r="K190" i="5"/>
  <c r="B191" i="5"/>
  <c r="J191" i="5"/>
  <c r="K191" i="5"/>
  <c r="B192" i="5"/>
  <c r="J192" i="5"/>
  <c r="K192" i="5"/>
  <c r="B193" i="5"/>
  <c r="J193" i="5"/>
  <c r="K193" i="5"/>
  <c r="B194" i="5"/>
  <c r="J194" i="5"/>
  <c r="K194" i="5"/>
  <c r="B195" i="5"/>
  <c r="J195" i="5"/>
  <c r="K195" i="5"/>
  <c r="B196" i="5"/>
  <c r="J196" i="5"/>
  <c r="K196" i="5"/>
  <c r="B197" i="5"/>
  <c r="J197" i="5"/>
  <c r="K197" i="5"/>
  <c r="B198" i="5"/>
  <c r="J198" i="5"/>
  <c r="K198" i="5"/>
  <c r="B199" i="5"/>
  <c r="J199" i="5"/>
  <c r="K199" i="5"/>
  <c r="B200" i="5"/>
  <c r="J200" i="5"/>
  <c r="K200" i="5"/>
  <c r="B201" i="5"/>
  <c r="J201" i="5"/>
  <c r="K201" i="5"/>
  <c r="B202" i="5"/>
  <c r="J202" i="5"/>
  <c r="K202" i="5"/>
  <c r="B203" i="5"/>
  <c r="J203" i="5"/>
  <c r="K203" i="5"/>
  <c r="B204" i="5"/>
  <c r="J204" i="5"/>
  <c r="K204" i="5"/>
  <c r="B205" i="5"/>
  <c r="J205" i="5"/>
  <c r="K205" i="5"/>
  <c r="B206" i="5"/>
  <c r="J206" i="5"/>
  <c r="K206" i="5"/>
  <c r="B207" i="5"/>
  <c r="J207" i="5"/>
  <c r="K207" i="5"/>
  <c r="B208" i="5"/>
  <c r="J208" i="5"/>
  <c r="K208" i="5"/>
  <c r="B209" i="5"/>
  <c r="J209" i="5"/>
  <c r="K209" i="5"/>
  <c r="B210" i="5"/>
  <c r="J210" i="5"/>
  <c r="K210" i="5"/>
  <c r="B211" i="5"/>
  <c r="J211" i="5"/>
  <c r="K211" i="5"/>
  <c r="B212" i="5"/>
  <c r="J212" i="5"/>
  <c r="K212" i="5"/>
  <c r="B213" i="5"/>
  <c r="J213" i="5"/>
  <c r="K213" i="5"/>
  <c r="B214" i="5"/>
  <c r="J214" i="5"/>
  <c r="K214" i="5"/>
  <c r="B215" i="5"/>
  <c r="J215" i="5"/>
  <c r="K215" i="5"/>
  <c r="B216" i="5"/>
  <c r="J216" i="5"/>
  <c r="K216" i="5"/>
  <c r="B217" i="5"/>
  <c r="J217" i="5"/>
  <c r="K217" i="5"/>
  <c r="B218" i="5"/>
  <c r="J218" i="5"/>
  <c r="K218" i="5"/>
  <c r="B219" i="5"/>
  <c r="J219" i="5"/>
  <c r="K219" i="5"/>
  <c r="B220" i="5"/>
  <c r="J220" i="5"/>
  <c r="K220" i="5"/>
  <c r="B221" i="5"/>
  <c r="J221" i="5"/>
  <c r="K221" i="5"/>
  <c r="B222" i="5"/>
  <c r="J222" i="5"/>
  <c r="K222" i="5"/>
  <c r="B223" i="5"/>
  <c r="J223" i="5"/>
  <c r="K223" i="5"/>
  <c r="B224" i="5"/>
  <c r="J224" i="5"/>
  <c r="K224" i="5"/>
  <c r="B225" i="5"/>
  <c r="J225" i="5"/>
  <c r="K225" i="5"/>
  <c r="B226" i="5"/>
  <c r="J226" i="5"/>
  <c r="K226" i="5"/>
  <c r="B227" i="5"/>
  <c r="J227" i="5"/>
  <c r="K227" i="5"/>
  <c r="B228" i="5"/>
  <c r="J228" i="5"/>
  <c r="K228" i="5"/>
  <c r="B229" i="5"/>
  <c r="J229" i="5"/>
  <c r="K229" i="5"/>
  <c r="B230" i="5"/>
  <c r="J230" i="5"/>
  <c r="K230" i="5"/>
  <c r="B231" i="5"/>
  <c r="J231" i="5"/>
  <c r="K231" i="5"/>
  <c r="B232" i="5"/>
  <c r="J232" i="5"/>
  <c r="K232" i="5"/>
  <c r="B233" i="5"/>
  <c r="J233" i="5"/>
  <c r="K233" i="5"/>
  <c r="B234" i="5"/>
  <c r="J234" i="5"/>
  <c r="K234" i="5"/>
  <c r="B235" i="5"/>
  <c r="J235" i="5"/>
  <c r="K235" i="5"/>
  <c r="B236" i="5"/>
  <c r="J236" i="5"/>
  <c r="K236" i="5"/>
  <c r="B237" i="5"/>
  <c r="J237" i="5"/>
  <c r="K237" i="5"/>
  <c r="B238" i="5"/>
  <c r="J238" i="5"/>
  <c r="K238" i="5"/>
  <c r="B239" i="5"/>
  <c r="J239" i="5"/>
  <c r="K239" i="5"/>
  <c r="B240" i="5"/>
  <c r="J240" i="5"/>
  <c r="K240" i="5"/>
  <c r="B241" i="5"/>
  <c r="J241" i="5"/>
  <c r="K241" i="5"/>
  <c r="B242" i="5"/>
  <c r="J242" i="5"/>
  <c r="K242" i="5"/>
  <c r="B243" i="5"/>
  <c r="J243" i="5"/>
  <c r="K243" i="5"/>
  <c r="B244" i="5"/>
  <c r="J244" i="5"/>
  <c r="K244" i="5"/>
  <c r="B245" i="5"/>
  <c r="J245" i="5"/>
  <c r="K245" i="5"/>
  <c r="B246" i="5"/>
  <c r="J246" i="5"/>
  <c r="K246" i="5"/>
  <c r="B247" i="5"/>
  <c r="J247" i="5"/>
  <c r="K247" i="5"/>
  <c r="B248" i="5"/>
  <c r="J248" i="5"/>
  <c r="K248" i="5"/>
  <c r="B249" i="5"/>
  <c r="J249" i="5"/>
  <c r="K249" i="5"/>
  <c r="B250" i="5"/>
  <c r="J250" i="5"/>
  <c r="K250" i="5"/>
  <c r="B251" i="5"/>
  <c r="J251" i="5"/>
  <c r="K251" i="5"/>
  <c r="B252" i="5"/>
  <c r="J252" i="5"/>
  <c r="K252" i="5"/>
  <c r="B253" i="5"/>
  <c r="J253" i="5"/>
  <c r="K253" i="5"/>
  <c r="B254" i="5"/>
  <c r="J254" i="5"/>
  <c r="K254" i="5"/>
  <c r="B255" i="5"/>
  <c r="J255" i="5"/>
  <c r="K255" i="5"/>
  <c r="B256" i="5"/>
  <c r="J256" i="5"/>
  <c r="K256" i="5"/>
  <c r="B257" i="5"/>
  <c r="J257" i="5"/>
  <c r="K257" i="5"/>
  <c r="B258" i="5"/>
  <c r="J258" i="5"/>
  <c r="K258" i="5"/>
  <c r="B259" i="5"/>
  <c r="J259" i="5"/>
  <c r="K259" i="5"/>
  <c r="B260" i="5"/>
  <c r="J260" i="5"/>
  <c r="K260" i="5"/>
  <c r="B261" i="5"/>
  <c r="J261" i="5"/>
  <c r="K261" i="5"/>
  <c r="B262" i="5"/>
  <c r="J262" i="5"/>
  <c r="K262" i="5"/>
  <c r="B263" i="5"/>
  <c r="J263" i="5"/>
  <c r="K263" i="5"/>
  <c r="B264" i="5"/>
  <c r="J264" i="5"/>
  <c r="K264" i="5"/>
  <c r="B265" i="5"/>
  <c r="J265" i="5"/>
  <c r="K265" i="5"/>
  <c r="B266" i="5"/>
  <c r="J266" i="5"/>
  <c r="K266" i="5"/>
  <c r="B267" i="5"/>
  <c r="J267" i="5"/>
  <c r="K267" i="5"/>
  <c r="B268" i="5"/>
  <c r="J268" i="5"/>
  <c r="K268" i="5"/>
  <c r="B269" i="5"/>
  <c r="J269" i="5"/>
  <c r="K269" i="5"/>
  <c r="B270" i="5"/>
  <c r="J270" i="5"/>
  <c r="K270" i="5"/>
  <c r="B271" i="5"/>
  <c r="J271" i="5"/>
  <c r="K271" i="5"/>
  <c r="B272" i="5"/>
  <c r="J272" i="5"/>
  <c r="K272" i="5"/>
  <c r="B273" i="5"/>
  <c r="J273" i="5"/>
  <c r="K273" i="5"/>
  <c r="B274" i="5"/>
  <c r="J274" i="5"/>
  <c r="K274" i="5"/>
  <c r="B275" i="5"/>
  <c r="J275" i="5"/>
  <c r="K275" i="5"/>
  <c r="B276" i="5"/>
  <c r="J276" i="5"/>
  <c r="K276" i="5"/>
  <c r="B277" i="5"/>
  <c r="J277" i="5"/>
  <c r="K277" i="5"/>
  <c r="B278" i="5"/>
  <c r="J278" i="5"/>
  <c r="K278" i="5"/>
  <c r="B279" i="5"/>
  <c r="J279" i="5"/>
  <c r="K279" i="5"/>
  <c r="B280" i="5"/>
  <c r="J280" i="5"/>
  <c r="K280" i="5"/>
  <c r="B281" i="5"/>
  <c r="J281" i="5"/>
  <c r="K281" i="5"/>
  <c r="B282" i="5"/>
  <c r="J282" i="5"/>
  <c r="K282" i="5"/>
  <c r="B283" i="5"/>
  <c r="J283" i="5"/>
  <c r="K283" i="5"/>
  <c r="B284" i="5"/>
  <c r="J284" i="5"/>
  <c r="K284" i="5"/>
  <c r="B285" i="5"/>
  <c r="J285" i="5"/>
  <c r="K285" i="5"/>
  <c r="B286" i="5"/>
  <c r="J286" i="5"/>
  <c r="K286" i="5"/>
  <c r="B287" i="5"/>
  <c r="J287" i="5"/>
  <c r="K287" i="5"/>
  <c r="B288" i="5"/>
  <c r="J288" i="5"/>
  <c r="K288" i="5"/>
  <c r="B289" i="5"/>
  <c r="J289" i="5"/>
  <c r="K289" i="5"/>
  <c r="B290" i="5"/>
  <c r="J290" i="5"/>
  <c r="K290" i="5"/>
  <c r="B291" i="5"/>
  <c r="J291" i="5"/>
  <c r="K291" i="5"/>
  <c r="B292" i="5"/>
  <c r="J292" i="5"/>
  <c r="K292" i="5"/>
  <c r="B293" i="5"/>
  <c r="J293" i="5"/>
  <c r="K293" i="5"/>
  <c r="B294" i="5"/>
  <c r="J294" i="5"/>
  <c r="K294" i="5"/>
  <c r="B295" i="5"/>
  <c r="J295" i="5"/>
  <c r="K295" i="5"/>
  <c r="B296" i="5"/>
  <c r="J296" i="5"/>
  <c r="K296" i="5"/>
  <c r="B297" i="5"/>
  <c r="J297" i="5"/>
  <c r="K297" i="5"/>
  <c r="B298" i="5"/>
  <c r="J298" i="5"/>
  <c r="K298" i="5"/>
  <c r="B299" i="5"/>
  <c r="J299" i="5"/>
  <c r="K299" i="5"/>
  <c r="B300" i="5"/>
  <c r="J300" i="5"/>
  <c r="K300" i="5"/>
  <c r="B301" i="5"/>
  <c r="J301" i="5"/>
  <c r="K301" i="5"/>
  <c r="B302" i="5"/>
  <c r="J302" i="5"/>
  <c r="K302" i="5"/>
  <c r="B303" i="5"/>
  <c r="J303" i="5"/>
  <c r="K303" i="5"/>
  <c r="B304" i="5"/>
  <c r="J304" i="5"/>
  <c r="K304" i="5"/>
  <c r="B305" i="5"/>
  <c r="J305" i="5"/>
  <c r="K305" i="5"/>
  <c r="B306" i="5"/>
  <c r="J306" i="5"/>
  <c r="K306" i="5"/>
  <c r="B307" i="5"/>
  <c r="J307" i="5"/>
  <c r="K307" i="5"/>
  <c r="B308" i="5"/>
  <c r="J308" i="5"/>
  <c r="K308" i="5"/>
  <c r="B309" i="5"/>
  <c r="J309" i="5"/>
  <c r="K309" i="5"/>
  <c r="B310" i="5"/>
  <c r="J310" i="5"/>
  <c r="K310" i="5"/>
  <c r="B311" i="5"/>
  <c r="J311" i="5"/>
  <c r="K311" i="5"/>
  <c r="B312" i="5"/>
  <c r="J312" i="5"/>
  <c r="K312" i="5"/>
  <c r="B313" i="5"/>
  <c r="J313" i="5"/>
  <c r="K313" i="5"/>
  <c r="B314" i="5"/>
  <c r="J314" i="5"/>
  <c r="K314" i="5"/>
  <c r="B315" i="5"/>
  <c r="J315" i="5"/>
  <c r="K315" i="5"/>
  <c r="B316" i="5"/>
  <c r="J316" i="5"/>
  <c r="K316" i="5"/>
  <c r="B317" i="5"/>
  <c r="J317" i="5"/>
  <c r="K317" i="5"/>
  <c r="B318" i="5"/>
  <c r="J318" i="5"/>
  <c r="K318" i="5"/>
  <c r="B319" i="5"/>
  <c r="J319" i="5"/>
  <c r="K319" i="5"/>
  <c r="B320" i="5"/>
  <c r="J320" i="5"/>
  <c r="K320" i="5"/>
  <c r="B321" i="5"/>
  <c r="J321" i="5"/>
  <c r="K321" i="5"/>
  <c r="B322" i="5"/>
  <c r="J322" i="5"/>
  <c r="K322" i="5"/>
  <c r="B323" i="5"/>
  <c r="J323" i="5"/>
  <c r="K323" i="5"/>
  <c r="B324" i="5"/>
  <c r="J324" i="5"/>
  <c r="K324" i="5"/>
  <c r="B325" i="5"/>
  <c r="J325" i="5"/>
  <c r="K325" i="5"/>
  <c r="B326" i="5"/>
  <c r="J326" i="5"/>
  <c r="K326" i="5"/>
  <c r="B327" i="5"/>
  <c r="J327" i="5"/>
  <c r="K327" i="5"/>
  <c r="B328" i="5"/>
  <c r="J328" i="5"/>
  <c r="K328" i="5"/>
  <c r="B329" i="5"/>
  <c r="J329" i="5"/>
  <c r="K329" i="5"/>
  <c r="B330" i="5"/>
  <c r="J330" i="5"/>
  <c r="K330" i="5"/>
  <c r="B331" i="5"/>
  <c r="J331" i="5"/>
  <c r="K331" i="5"/>
  <c r="B332" i="5"/>
  <c r="J332" i="5"/>
  <c r="K332" i="5"/>
  <c r="B333" i="5"/>
  <c r="J333" i="5"/>
  <c r="K333" i="5"/>
  <c r="B334" i="5"/>
  <c r="J334" i="5"/>
  <c r="K334" i="5"/>
  <c r="B335" i="5"/>
  <c r="J335" i="5"/>
  <c r="K335" i="5"/>
  <c r="B336" i="5"/>
  <c r="J336" i="5"/>
  <c r="K336" i="5"/>
  <c r="B337" i="5"/>
  <c r="J337" i="5"/>
  <c r="K337" i="5"/>
  <c r="B338" i="5"/>
  <c r="J338" i="5"/>
  <c r="K338" i="5"/>
  <c r="B339" i="5"/>
  <c r="J339" i="5"/>
  <c r="K339" i="5"/>
  <c r="B340" i="5"/>
  <c r="J340" i="5"/>
  <c r="K340" i="5"/>
  <c r="B341" i="5"/>
  <c r="J341" i="5"/>
  <c r="K341" i="5"/>
  <c r="B342" i="5"/>
  <c r="J342" i="5"/>
  <c r="K342" i="5"/>
  <c r="B343" i="5"/>
  <c r="J343" i="5"/>
  <c r="K343" i="5"/>
  <c r="B344" i="5"/>
  <c r="J344" i="5"/>
  <c r="K344" i="5"/>
  <c r="B345" i="5"/>
  <c r="J345" i="5"/>
  <c r="K345" i="5"/>
  <c r="B346" i="5"/>
  <c r="J346" i="5"/>
  <c r="K346" i="5"/>
  <c r="B347" i="5"/>
  <c r="J347" i="5"/>
  <c r="K347" i="5"/>
  <c r="B348" i="5"/>
  <c r="J348" i="5"/>
  <c r="K348" i="5"/>
  <c r="B349" i="5"/>
  <c r="J349" i="5"/>
  <c r="K349" i="5"/>
  <c r="B350" i="5"/>
  <c r="J350" i="5"/>
  <c r="K350" i="5"/>
  <c r="B351" i="5"/>
  <c r="J351" i="5"/>
  <c r="K351" i="5"/>
  <c r="B352" i="5"/>
  <c r="J352" i="5"/>
  <c r="K352" i="5"/>
  <c r="B353" i="5"/>
  <c r="J353" i="5"/>
  <c r="K353" i="5"/>
  <c r="B354" i="5"/>
  <c r="J354" i="5"/>
  <c r="K354" i="5"/>
  <c r="B355" i="5"/>
  <c r="J355" i="5"/>
  <c r="K355" i="5"/>
  <c r="B356" i="5"/>
  <c r="J356" i="5"/>
  <c r="K356" i="5"/>
  <c r="B357" i="5"/>
  <c r="J357" i="5"/>
  <c r="K357" i="5"/>
  <c r="B358" i="5"/>
  <c r="J358" i="5"/>
  <c r="K358" i="5"/>
  <c r="B359" i="5"/>
  <c r="J359" i="5"/>
  <c r="K359" i="5"/>
  <c r="B360" i="5"/>
  <c r="J360" i="5"/>
  <c r="K360" i="5"/>
  <c r="B361" i="5"/>
  <c r="J361" i="5"/>
  <c r="K361" i="5"/>
  <c r="B362" i="5"/>
  <c r="J362" i="5"/>
  <c r="K362" i="5"/>
  <c r="B363" i="5"/>
  <c r="J363" i="5"/>
  <c r="K363" i="5"/>
  <c r="B364" i="5"/>
  <c r="J364" i="5"/>
  <c r="K364" i="5"/>
  <c r="B365" i="5"/>
  <c r="J365" i="5"/>
  <c r="K365" i="5"/>
  <c r="B366" i="5"/>
  <c r="J366" i="5"/>
  <c r="K366" i="5"/>
  <c r="B367" i="5"/>
  <c r="J367" i="5"/>
  <c r="K367" i="5"/>
  <c r="B368" i="5"/>
  <c r="J368" i="5"/>
  <c r="K368" i="5"/>
  <c r="B369" i="5"/>
  <c r="J369" i="5"/>
  <c r="K369" i="5"/>
  <c r="B370" i="5"/>
  <c r="J370" i="5"/>
  <c r="K370" i="5"/>
  <c r="B371" i="5"/>
  <c r="J371" i="5"/>
  <c r="K371" i="5"/>
  <c r="B372" i="5"/>
  <c r="J372" i="5"/>
  <c r="K372" i="5"/>
  <c r="B373" i="5"/>
  <c r="J373" i="5"/>
  <c r="K373" i="5"/>
  <c r="B374" i="5"/>
  <c r="J374" i="5"/>
  <c r="K374" i="5"/>
  <c r="B375" i="5"/>
  <c r="J375" i="5"/>
  <c r="K375" i="5"/>
  <c r="B376" i="5"/>
  <c r="J376" i="5"/>
  <c r="K376" i="5"/>
  <c r="B377" i="5"/>
  <c r="J377" i="5"/>
  <c r="K377" i="5"/>
  <c r="B378" i="5"/>
  <c r="J378" i="5"/>
  <c r="K378" i="5"/>
  <c r="B379" i="5"/>
  <c r="J379" i="5"/>
  <c r="K379" i="5"/>
  <c r="B380" i="5"/>
  <c r="J380" i="5"/>
  <c r="K380" i="5"/>
  <c r="B381" i="5"/>
  <c r="J381" i="5"/>
  <c r="K381" i="5"/>
  <c r="B382" i="5"/>
  <c r="J382" i="5"/>
  <c r="K382" i="5"/>
  <c r="B383" i="5"/>
  <c r="J383" i="5"/>
  <c r="K383" i="5"/>
  <c r="B384" i="5"/>
  <c r="J384" i="5"/>
  <c r="K384" i="5"/>
  <c r="B385" i="5"/>
  <c r="J385" i="5"/>
  <c r="K385" i="5"/>
  <c r="B386" i="5"/>
  <c r="J386" i="5"/>
  <c r="K386" i="5"/>
  <c r="B387" i="5"/>
  <c r="J387" i="5"/>
  <c r="K387" i="5"/>
  <c r="B388" i="5"/>
  <c r="J388" i="5"/>
  <c r="K388" i="5"/>
  <c r="B389" i="5"/>
  <c r="J389" i="5"/>
  <c r="K389" i="5"/>
  <c r="B390" i="5"/>
  <c r="J390" i="5"/>
  <c r="K390" i="5"/>
  <c r="B391" i="5"/>
  <c r="J391" i="5"/>
  <c r="K391" i="5"/>
  <c r="B392" i="5"/>
  <c r="J392" i="5"/>
  <c r="K392" i="5"/>
  <c r="B393" i="5"/>
  <c r="J393" i="5"/>
  <c r="K393" i="5"/>
  <c r="B394" i="5"/>
  <c r="J394" i="5"/>
  <c r="K394" i="5"/>
  <c r="B395" i="5"/>
  <c r="J395" i="5"/>
  <c r="K395" i="5"/>
  <c r="B396" i="5"/>
  <c r="J396" i="5"/>
  <c r="K396" i="5"/>
  <c r="B397" i="5"/>
  <c r="J397" i="5"/>
  <c r="K397" i="5"/>
  <c r="B398" i="5"/>
  <c r="J398" i="5"/>
  <c r="K398" i="5"/>
  <c r="B399" i="5"/>
  <c r="J399" i="5"/>
  <c r="K399" i="5"/>
  <c r="B400" i="5"/>
  <c r="J400" i="5"/>
  <c r="K400" i="5"/>
  <c r="B401" i="5"/>
  <c r="J401" i="5"/>
  <c r="K401" i="5"/>
  <c r="B402" i="5"/>
  <c r="J402" i="5"/>
  <c r="K402" i="5"/>
  <c r="B403" i="5"/>
  <c r="J403" i="5"/>
  <c r="K403" i="5"/>
  <c r="B404" i="5"/>
  <c r="J404" i="5"/>
  <c r="K404" i="5"/>
  <c r="B405" i="5"/>
  <c r="J405" i="5"/>
  <c r="K405" i="5"/>
  <c r="B406" i="5"/>
  <c r="J406" i="5"/>
  <c r="K406" i="5"/>
  <c r="B407" i="5"/>
  <c r="J407" i="5"/>
  <c r="K407" i="5"/>
  <c r="B408" i="5"/>
  <c r="J408" i="5"/>
  <c r="K408" i="5"/>
  <c r="B409" i="5"/>
  <c r="J409" i="5"/>
  <c r="K409" i="5"/>
  <c r="B410" i="5"/>
  <c r="J410" i="5"/>
  <c r="K410" i="5"/>
  <c r="B411" i="5"/>
  <c r="J411" i="5"/>
  <c r="K411" i="5"/>
  <c r="B412" i="5"/>
  <c r="J412" i="5"/>
  <c r="K412" i="5"/>
  <c r="B413" i="5"/>
  <c r="J413" i="5"/>
  <c r="K413" i="5"/>
  <c r="B414" i="5"/>
  <c r="J414" i="5"/>
  <c r="K414" i="5"/>
  <c r="B415" i="5"/>
  <c r="J415" i="5"/>
  <c r="K415" i="5"/>
  <c r="B416" i="5"/>
  <c r="J416" i="5"/>
  <c r="K416" i="5"/>
  <c r="B417" i="5"/>
  <c r="J417" i="5"/>
  <c r="K417" i="5"/>
  <c r="B418" i="5"/>
  <c r="J418" i="5"/>
  <c r="K418" i="5"/>
  <c r="B419" i="5"/>
  <c r="J419" i="5"/>
  <c r="K419" i="5"/>
  <c r="B420" i="5"/>
  <c r="J420" i="5"/>
  <c r="K420" i="5"/>
  <c r="B421" i="5"/>
  <c r="J421" i="5"/>
  <c r="K421" i="5"/>
  <c r="B422" i="5"/>
  <c r="J422" i="5"/>
  <c r="K422" i="5"/>
  <c r="B423" i="5"/>
  <c r="J423" i="5"/>
  <c r="K423" i="5"/>
  <c r="B424" i="5"/>
  <c r="J424" i="5"/>
  <c r="K424" i="5"/>
  <c r="B425" i="5"/>
  <c r="J425" i="5"/>
  <c r="K425" i="5"/>
  <c r="B426" i="5"/>
  <c r="J426" i="5"/>
  <c r="K426" i="5"/>
  <c r="B427" i="5"/>
  <c r="J427" i="5"/>
  <c r="K427" i="5"/>
  <c r="B428" i="5"/>
  <c r="J428" i="5"/>
  <c r="K428" i="5"/>
  <c r="B429" i="5"/>
  <c r="J429" i="5"/>
  <c r="K429" i="5"/>
  <c r="B430" i="5"/>
  <c r="J430" i="5"/>
  <c r="K430" i="5"/>
  <c r="B431" i="5"/>
  <c r="J431" i="5"/>
  <c r="K431" i="5"/>
  <c r="B432" i="5"/>
  <c r="J432" i="5"/>
  <c r="K432" i="5"/>
  <c r="B433" i="5"/>
  <c r="J433" i="5"/>
  <c r="K433" i="5"/>
  <c r="B434" i="5"/>
  <c r="J434" i="5"/>
  <c r="K434" i="5"/>
  <c r="B435" i="5"/>
  <c r="J435" i="5"/>
  <c r="K435" i="5"/>
  <c r="B436" i="5"/>
  <c r="J436" i="5"/>
  <c r="K436" i="5"/>
  <c r="B437" i="5"/>
  <c r="J437" i="5"/>
  <c r="K437" i="5"/>
  <c r="B438" i="5"/>
  <c r="J438" i="5"/>
  <c r="K438" i="5"/>
  <c r="B439" i="5"/>
  <c r="J439" i="5"/>
  <c r="K439" i="5"/>
  <c r="B440" i="5"/>
  <c r="J440" i="5"/>
  <c r="K440" i="5"/>
  <c r="B441" i="5"/>
  <c r="J441" i="5"/>
  <c r="K441" i="5"/>
  <c r="B442" i="5"/>
  <c r="J442" i="5"/>
  <c r="K442" i="5"/>
  <c r="B443" i="5"/>
  <c r="J443" i="5"/>
  <c r="K443" i="5"/>
  <c r="B444" i="5"/>
  <c r="J444" i="5"/>
  <c r="K444" i="5"/>
  <c r="B445" i="5"/>
  <c r="J445" i="5"/>
  <c r="K445" i="5"/>
  <c r="B446" i="5"/>
  <c r="J446" i="5"/>
  <c r="K446" i="5"/>
  <c r="B447" i="5"/>
  <c r="J447" i="5"/>
  <c r="K447" i="5"/>
  <c r="B448" i="5"/>
  <c r="J448" i="5"/>
  <c r="K448" i="5"/>
  <c r="B449" i="5"/>
  <c r="J449" i="5"/>
  <c r="K449" i="5"/>
  <c r="B450" i="5"/>
  <c r="J450" i="5"/>
  <c r="K450" i="5"/>
  <c r="B451" i="5"/>
  <c r="J451" i="5"/>
  <c r="K451" i="5"/>
  <c r="B452" i="5"/>
  <c r="J452" i="5"/>
  <c r="K452" i="5"/>
  <c r="B453" i="5"/>
  <c r="J453" i="5"/>
  <c r="K453" i="5"/>
  <c r="B454" i="5"/>
  <c r="J454" i="5"/>
  <c r="K454" i="5"/>
  <c r="B455" i="5"/>
  <c r="J455" i="5"/>
  <c r="K455" i="5"/>
  <c r="B456" i="5"/>
  <c r="J456" i="5"/>
  <c r="K456" i="5"/>
  <c r="B457" i="5"/>
  <c r="J457" i="5"/>
  <c r="K457" i="5"/>
  <c r="B458" i="5"/>
  <c r="J458" i="5"/>
  <c r="K458" i="5"/>
  <c r="B459" i="5"/>
  <c r="J459" i="5"/>
  <c r="K459" i="5"/>
  <c r="B460" i="5"/>
  <c r="J460" i="5"/>
  <c r="K460" i="5"/>
  <c r="B461" i="5"/>
  <c r="J461" i="5"/>
  <c r="K461" i="5"/>
  <c r="B462" i="5"/>
  <c r="J462" i="5"/>
  <c r="K462" i="5"/>
  <c r="B463" i="5"/>
  <c r="J463" i="5"/>
  <c r="K463" i="5"/>
  <c r="B464" i="5"/>
  <c r="J464" i="5"/>
  <c r="K464" i="5"/>
  <c r="B465" i="5"/>
  <c r="J465" i="5"/>
  <c r="K465" i="5"/>
  <c r="B466" i="5"/>
  <c r="J466" i="5"/>
  <c r="K466" i="5"/>
  <c r="B467" i="5"/>
  <c r="J467" i="5"/>
  <c r="K467" i="5"/>
  <c r="B468" i="5"/>
  <c r="J468" i="5"/>
  <c r="K468" i="5"/>
  <c r="B469" i="5"/>
  <c r="J469" i="5"/>
  <c r="K469" i="5"/>
  <c r="B470" i="5"/>
  <c r="J470" i="5"/>
  <c r="K470" i="5"/>
  <c r="B471" i="5"/>
  <c r="J471" i="5"/>
  <c r="K471" i="5"/>
  <c r="B472" i="5"/>
  <c r="J472" i="5"/>
  <c r="K472" i="5"/>
  <c r="B473" i="5"/>
  <c r="J473" i="5"/>
  <c r="K473" i="5"/>
  <c r="B474" i="5"/>
  <c r="J474" i="5"/>
  <c r="K474" i="5"/>
  <c r="B475" i="5"/>
  <c r="J475" i="5"/>
  <c r="K475" i="5"/>
  <c r="B476" i="5"/>
  <c r="J476" i="5"/>
  <c r="K476" i="5"/>
  <c r="B477" i="5"/>
  <c r="J477" i="5"/>
  <c r="K477" i="5"/>
  <c r="B478" i="5"/>
  <c r="J478" i="5"/>
  <c r="K478" i="5"/>
  <c r="B479" i="5"/>
  <c r="J479" i="5"/>
  <c r="K479" i="5"/>
  <c r="B480" i="5"/>
  <c r="J480" i="5"/>
  <c r="K480" i="5"/>
  <c r="B481" i="5"/>
  <c r="J481" i="5"/>
  <c r="K481" i="5"/>
  <c r="B482" i="5"/>
  <c r="J482" i="5"/>
  <c r="K482" i="5"/>
  <c r="B483" i="5"/>
  <c r="J483" i="5"/>
  <c r="K483" i="5"/>
  <c r="B484" i="5"/>
  <c r="J484" i="5"/>
  <c r="K484" i="5"/>
  <c r="B485" i="5"/>
  <c r="J485" i="5"/>
  <c r="K485" i="5"/>
  <c r="B486" i="5"/>
  <c r="J486" i="5"/>
  <c r="K486" i="5"/>
  <c r="B487" i="5"/>
  <c r="J487" i="5"/>
  <c r="K487" i="5"/>
  <c r="B488" i="5"/>
  <c r="J488" i="5"/>
  <c r="K488" i="5"/>
  <c r="B489" i="5"/>
  <c r="J489" i="5"/>
  <c r="K489" i="5"/>
  <c r="B490" i="5"/>
  <c r="J490" i="5"/>
  <c r="K490" i="5"/>
  <c r="B491" i="5"/>
  <c r="J491" i="5"/>
  <c r="K491" i="5"/>
  <c r="B492" i="5"/>
  <c r="J492" i="5"/>
  <c r="K492" i="5"/>
  <c r="B493" i="5"/>
  <c r="J493" i="5"/>
  <c r="K493" i="5"/>
  <c r="B494" i="5"/>
  <c r="J494" i="5"/>
  <c r="K494" i="5"/>
  <c r="B495" i="5"/>
  <c r="J495" i="5"/>
  <c r="K495" i="5"/>
  <c r="B496" i="5"/>
  <c r="J496" i="5"/>
  <c r="K496" i="5"/>
  <c r="B497" i="5"/>
  <c r="J497" i="5"/>
  <c r="K497" i="5"/>
  <c r="B498" i="5"/>
  <c r="J498" i="5"/>
  <c r="K498" i="5"/>
  <c r="B499" i="5"/>
  <c r="J499" i="5"/>
  <c r="K499" i="5"/>
  <c r="B500" i="5"/>
  <c r="J500" i="5"/>
  <c r="K500" i="5"/>
  <c r="B501" i="5"/>
  <c r="J501" i="5"/>
  <c r="K501" i="5"/>
  <c r="B502" i="5"/>
  <c r="J502" i="5"/>
  <c r="K502" i="5"/>
  <c r="B503" i="5"/>
  <c r="J503" i="5"/>
  <c r="K503" i="5"/>
  <c r="B504" i="5"/>
  <c r="J504" i="5"/>
  <c r="K504" i="5"/>
  <c r="B505" i="5"/>
  <c r="J505" i="5"/>
  <c r="K505" i="5"/>
  <c r="B506" i="5"/>
  <c r="J506" i="5"/>
  <c r="K506" i="5"/>
  <c r="B507" i="5"/>
  <c r="J507" i="5"/>
  <c r="K507" i="5"/>
  <c r="B508" i="5"/>
  <c r="J508" i="5"/>
  <c r="K508" i="5"/>
  <c r="B509" i="5"/>
  <c r="J509" i="5"/>
  <c r="K509" i="5"/>
  <c r="B510" i="5"/>
  <c r="J510" i="5"/>
  <c r="K510" i="5"/>
  <c r="B511" i="5"/>
  <c r="J511" i="5"/>
  <c r="K511" i="5"/>
  <c r="B512" i="5"/>
  <c r="J512" i="5"/>
  <c r="K512" i="5"/>
  <c r="B513" i="5"/>
  <c r="J513" i="5"/>
  <c r="K513" i="5"/>
  <c r="B514" i="5"/>
  <c r="J514" i="5"/>
  <c r="K514" i="5"/>
  <c r="B515" i="5"/>
  <c r="J515" i="5"/>
  <c r="K515" i="5"/>
  <c r="B516" i="5"/>
  <c r="J516" i="5"/>
  <c r="K516" i="5"/>
  <c r="B517" i="5"/>
  <c r="J517" i="5"/>
  <c r="K517" i="5"/>
  <c r="B518" i="5"/>
  <c r="J518" i="5"/>
  <c r="K518" i="5"/>
  <c r="B519" i="5"/>
  <c r="J519" i="5"/>
  <c r="K519" i="5"/>
  <c r="B520" i="5"/>
  <c r="J520" i="5"/>
  <c r="K520" i="5"/>
  <c r="B521" i="5"/>
  <c r="J521" i="5"/>
  <c r="K521" i="5"/>
  <c r="B522" i="5"/>
  <c r="J522" i="5"/>
  <c r="K522" i="5"/>
  <c r="B523" i="5"/>
  <c r="J523" i="5"/>
  <c r="K523" i="5"/>
  <c r="B524" i="5"/>
  <c r="J524" i="5"/>
  <c r="K524" i="5"/>
  <c r="B525" i="5"/>
  <c r="J525" i="5"/>
  <c r="K525" i="5"/>
  <c r="B526" i="5"/>
  <c r="J526" i="5"/>
  <c r="K526" i="5"/>
  <c r="B527" i="5"/>
  <c r="J527" i="5"/>
  <c r="K527" i="5"/>
  <c r="B528" i="5"/>
  <c r="J528" i="5"/>
  <c r="K528" i="5"/>
  <c r="B529" i="5"/>
  <c r="J529" i="5"/>
  <c r="K529" i="5"/>
  <c r="B530" i="5"/>
  <c r="J530" i="5"/>
  <c r="K530" i="5"/>
  <c r="B531" i="5"/>
  <c r="J531" i="5"/>
  <c r="K531" i="5"/>
  <c r="B532" i="5"/>
  <c r="J532" i="5"/>
  <c r="K532" i="5"/>
  <c r="B533" i="5"/>
  <c r="J533" i="5"/>
  <c r="K533" i="5"/>
  <c r="B534" i="5"/>
  <c r="J534" i="5"/>
  <c r="K534" i="5"/>
  <c r="B535" i="5"/>
  <c r="J535" i="5"/>
  <c r="K535" i="5"/>
  <c r="B536" i="5"/>
  <c r="J536" i="5"/>
  <c r="K536" i="5"/>
  <c r="B537" i="5"/>
  <c r="J537" i="5"/>
  <c r="K537" i="5"/>
  <c r="B538" i="5"/>
  <c r="J538" i="5"/>
  <c r="K538" i="5"/>
  <c r="B539" i="5"/>
  <c r="J539" i="5"/>
  <c r="K539" i="5"/>
  <c r="B540" i="5"/>
  <c r="J540" i="5"/>
  <c r="K540" i="5"/>
  <c r="B541" i="5"/>
  <c r="J541" i="5"/>
  <c r="K541" i="5"/>
  <c r="B542" i="5"/>
  <c r="J542" i="5"/>
  <c r="K542" i="5"/>
  <c r="B543" i="5"/>
  <c r="J543" i="5"/>
  <c r="K543" i="5"/>
  <c r="B544" i="5"/>
  <c r="J544" i="5"/>
  <c r="K544" i="5"/>
  <c r="B545" i="5"/>
  <c r="J545" i="5"/>
  <c r="K545" i="5"/>
  <c r="B546" i="5"/>
  <c r="J546" i="5"/>
  <c r="K546" i="5"/>
  <c r="B547" i="5"/>
  <c r="J547" i="5"/>
  <c r="K547" i="5"/>
  <c r="B548" i="5"/>
  <c r="J548" i="5"/>
  <c r="K548" i="5"/>
  <c r="B549" i="5"/>
  <c r="J549" i="5"/>
  <c r="K549" i="5"/>
  <c r="B550" i="5"/>
  <c r="J550" i="5"/>
  <c r="K550" i="5"/>
  <c r="B551" i="5"/>
  <c r="J551" i="5"/>
  <c r="K551" i="5"/>
  <c r="B552" i="5"/>
  <c r="J552" i="5"/>
  <c r="K552" i="5"/>
  <c r="B553" i="5"/>
  <c r="J553" i="5"/>
  <c r="K553" i="5"/>
  <c r="B554" i="5"/>
  <c r="J554" i="5"/>
  <c r="K554" i="5"/>
  <c r="B555" i="5"/>
  <c r="J555" i="5"/>
  <c r="K555" i="5"/>
  <c r="B556" i="5"/>
  <c r="J556" i="5"/>
  <c r="K556" i="5"/>
  <c r="B557" i="5"/>
  <c r="J557" i="5"/>
  <c r="K557" i="5"/>
  <c r="B558" i="5"/>
  <c r="J558" i="5"/>
  <c r="K558" i="5"/>
  <c r="B559" i="5"/>
  <c r="J559" i="5"/>
  <c r="K559" i="5"/>
  <c r="B560" i="5"/>
  <c r="J560" i="5"/>
  <c r="K560" i="5"/>
  <c r="B561" i="5"/>
  <c r="J561" i="5"/>
  <c r="K561" i="5"/>
  <c r="K16" i="5"/>
  <c r="J16" i="5"/>
  <c r="B16" i="5"/>
  <c r="C4" i="7" l="1"/>
  <c r="D4" i="7"/>
  <c r="E4" i="7"/>
  <c r="B4" i="7"/>
  <c r="B5" i="7" l="1"/>
  <c r="D5" i="7"/>
  <c r="C5" i="7"/>
  <c r="E5" i="7"/>
  <c r="I108" i="5" a="1"/>
  <c r="E145" i="5" a="1"/>
  <c r="C74" i="5" a="1"/>
  <c r="C143" i="5" a="1"/>
  <c r="C163" i="5" a="1"/>
  <c r="H31" i="5" a="1"/>
  <c r="C38" i="5" a="1"/>
  <c r="F108" i="5" a="1"/>
  <c r="H164" i="5" a="1"/>
  <c r="H262" i="5" a="1"/>
  <c r="D143" i="5" a="1"/>
  <c r="D339" i="5" a="1"/>
  <c r="H231" i="5" a="1"/>
  <c r="F117" i="5" a="1"/>
  <c r="I240" i="5" a="1"/>
  <c r="E129" i="5" a="1"/>
  <c r="H134" i="5" a="1"/>
  <c r="G26" i="5" a="1"/>
  <c r="I98" i="5" a="1"/>
  <c r="G166" i="5" a="1"/>
  <c r="I187" i="5" a="1"/>
  <c r="F46" i="5" a="1"/>
  <c r="I81" i="5" a="1"/>
  <c r="H120" i="5" a="1"/>
  <c r="I46" i="5" a="1"/>
  <c r="C89" i="5" a="1"/>
  <c r="F138" i="5" a="1"/>
  <c r="I196" i="5" a="1"/>
  <c r="F38" i="5" a="1"/>
  <c r="D69" i="5" a="1"/>
  <c r="C166" i="5" a="1"/>
  <c r="C19" i="5" a="1"/>
  <c r="H275" i="5" a="1"/>
  <c r="I150" i="5" a="1"/>
  <c r="E32" i="5" a="1"/>
  <c r="H67" i="5" a="1"/>
  <c r="G106" i="5" a="1"/>
  <c r="I36" i="5" a="1"/>
  <c r="C82" i="5" a="1"/>
  <c r="I117" i="5" a="1"/>
  <c r="C184" i="5" a="1"/>
  <c r="D22" i="5" a="1"/>
  <c r="H56" i="5" a="1"/>
  <c r="G139" i="5" a="1"/>
  <c r="G368" i="5" a="1"/>
  <c r="G261" i="5" a="1"/>
  <c r="F113" i="5" a="1"/>
  <c r="E346" i="5" a="1"/>
  <c r="H138" i="5" a="1"/>
  <c r="I346" i="5" a="1"/>
  <c r="D58" i="5" a="1"/>
  <c r="G93" i="5" a="1"/>
  <c r="E22" i="5" a="1"/>
  <c r="G56" i="5" a="1"/>
  <c r="H101" i="5" a="1"/>
  <c r="G146" i="5" a="1"/>
  <c r="C211" i="5" a="1"/>
  <c r="E46" i="5" a="1"/>
  <c r="G91" i="5" a="1"/>
  <c r="F206" i="5" a="1"/>
  <c r="C40" i="5" a="1"/>
  <c r="F287" i="5" a="1"/>
  <c r="G161" i="5" a="1"/>
  <c r="D372" i="5" a="1"/>
  <c r="H176" i="5" a="1"/>
  <c r="H372" i="5" a="1"/>
  <c r="C84" i="5" a="1"/>
  <c r="F119" i="5" a="1"/>
  <c r="D48" i="5" a="1"/>
  <c r="D100" i="5" a="1"/>
  <c r="F128" i="5" a="1"/>
  <c r="H170" i="5" a="1"/>
  <c r="I235" i="5" a="1"/>
  <c r="I79" i="5" a="1"/>
  <c r="E134" i="5" a="1"/>
  <c r="G231" i="5" a="1"/>
  <c r="I111" i="5" a="1"/>
  <c r="E313" i="5" a="1"/>
  <c r="G202" i="5" a="1"/>
  <c r="F53" i="5" a="1"/>
  <c r="I209" i="5" a="1"/>
  <c r="G67" i="5" a="1"/>
  <c r="F32" i="5" a="1"/>
  <c r="F49" i="5" a="1"/>
  <c r="I102" i="5" a="1"/>
  <c r="G236" i="5" a="1"/>
  <c r="H68" i="5" a="1"/>
  <c r="D95" i="5" a="1"/>
  <c r="G390" i="5" a="1"/>
  <c r="H286" i="5" a="1"/>
  <c r="C144" i="5" a="1"/>
  <c r="I27" i="5" a="1"/>
  <c r="F161" i="5" a="1"/>
  <c r="F77" i="5" a="1"/>
  <c r="C318" i="5" a="1"/>
  <c r="G318" i="5" a="1"/>
  <c r="E351" i="5" a="1"/>
  <c r="H219" i="5" a="1"/>
  <c r="C26" i="5" a="1"/>
  <c r="E179" i="5" a="1"/>
  <c r="G400" i="5" a="1"/>
  <c r="D89" i="5" a="1"/>
  <c r="H199" i="5" a="1"/>
  <c r="E269" i="5" a="1"/>
  <c r="E359" i="5" a="1"/>
  <c r="I214" i="5" a="1"/>
  <c r="H107" i="5" a="1"/>
  <c r="D161" i="5" a="1"/>
  <c r="C47" i="5" a="1"/>
  <c r="D194" i="5" a="1"/>
  <c r="E366" i="5" a="1"/>
  <c r="I366" i="5" a="1"/>
  <c r="C371" i="5" a="1"/>
  <c r="I255" i="5" a="1"/>
  <c r="H86" i="5" a="1"/>
  <c r="E206" i="5" a="1"/>
  <c r="F426" i="5" a="1"/>
  <c r="F164" i="5" a="1"/>
  <c r="D230" i="5" a="1"/>
  <c r="H296" i="5" a="1"/>
  <c r="I397" i="5" a="1"/>
  <c r="I247" i="5" a="1"/>
  <c r="E58" i="5" a="1"/>
  <c r="I90" i="5" a="1"/>
  <c r="D145" i="5" a="1"/>
  <c r="H255" i="5" a="1"/>
  <c r="C123" i="5" a="1"/>
  <c r="E132" i="5" a="1"/>
  <c r="H154" i="5" a="1"/>
  <c r="G46" i="5" a="1"/>
  <c r="I118" i="5" a="1"/>
  <c r="G186" i="5" a="1"/>
  <c r="D50" i="5" a="1"/>
  <c r="F103" i="5" a="1"/>
  <c r="H119" i="5" a="1"/>
  <c r="D176" i="5" a="1"/>
  <c r="H211" i="5" a="1"/>
  <c r="G308" i="5" a="1"/>
  <c r="G206" i="5" a="1"/>
  <c r="F17" i="5" a="1"/>
  <c r="E286" i="5" a="1"/>
  <c r="C39" i="5" a="1"/>
  <c r="I286" i="5" a="1"/>
  <c r="E202" i="5" a="1"/>
  <c r="G33" i="5" a="1"/>
  <c r="F72" i="5" a="1"/>
  <c r="H144" i="5" a="1"/>
  <c r="E31" i="5" a="1"/>
  <c r="H82" i="5" a="1"/>
  <c r="E92" i="5" a="1"/>
  <c r="H127" i="5" a="1"/>
  <c r="F56" i="5" a="1"/>
  <c r="E114" i="5" a="1"/>
  <c r="I137" i="5" a="1"/>
  <c r="C180" i="5" a="1"/>
  <c r="E20" i="5" a="1"/>
  <c r="H92" i="5" a="1"/>
  <c r="I146" i="5" a="1"/>
  <c r="D246" i="5" a="1"/>
  <c r="C119" i="5" a="1"/>
  <c r="G321" i="5" a="1"/>
  <c r="F219" i="5" a="1"/>
  <c r="D78" i="5" a="1"/>
  <c r="G113" i="5" a="1"/>
  <c r="E42" i="5" a="1"/>
  <c r="I91" i="5" a="1"/>
  <c r="H125" i="5" a="1"/>
  <c r="I164" i="5" a="1"/>
  <c r="C231" i="5" a="1"/>
  <c r="I71" i="5" a="1"/>
  <c r="I126" i="5" a="1"/>
  <c r="H226" i="5" a="1"/>
  <c r="H90" i="5" a="1"/>
  <c r="F307" i="5" a="1"/>
  <c r="F198" i="5" a="1"/>
  <c r="D40" i="5" a="1"/>
  <c r="C207" i="5" a="1"/>
  <c r="H51" i="5" a="1"/>
  <c r="C104" i="5" a="1"/>
  <c r="F139" i="5" a="1"/>
  <c r="D68" i="5" a="1"/>
  <c r="C135" i="5" a="1"/>
  <c r="E155" i="5" a="1"/>
  <c r="G23" i="5" a="1"/>
  <c r="E33" i="5" a="1"/>
  <c r="D102" i="5" a="1"/>
  <c r="F160" i="5" a="1"/>
  <c r="I256" i="5" a="1"/>
  <c r="H137" i="5" a="1"/>
  <c r="E333" i="5" a="1"/>
  <c r="I226" i="5" a="1"/>
  <c r="G79" i="5" a="1"/>
  <c r="E238" i="5" a="1"/>
  <c r="G108" i="5" a="1"/>
  <c r="I128" i="5" a="1"/>
  <c r="H20" i="5" a="1"/>
  <c r="C94" i="5" a="1"/>
  <c r="D159" i="5" a="1"/>
  <c r="C183" i="5" a="1"/>
  <c r="D65" i="5" a="1"/>
  <c r="D73" i="5" a="1"/>
  <c r="E149" i="5" a="1"/>
  <c r="G192" i="5" a="1"/>
  <c r="H282" i="5" a="1"/>
  <c r="D179" i="5" a="1"/>
  <c r="D359" i="5" a="1"/>
  <c r="F260" i="5" a="1"/>
  <c r="G154" i="5" a="1"/>
  <c r="C262" i="5" a="1"/>
  <c r="F168" i="5" a="1"/>
  <c r="H104" i="5" a="1"/>
  <c r="E219" i="5" a="1"/>
  <c r="H75" i="5" a="1"/>
  <c r="I349" i="5" a="1"/>
  <c r="I89" i="5" a="1"/>
  <c r="G241" i="5" a="1"/>
  <c r="F436" i="5" a="1"/>
  <c r="F337" i="5" a="1"/>
  <c r="I34" i="5" a="1"/>
  <c r="H79" i="5" a="1"/>
  <c r="D120" i="5" a="1"/>
  <c r="D240" i="5" a="1"/>
  <c r="E70" i="5" a="1"/>
  <c r="I97" i="5" a="1"/>
  <c r="C394" i="5" a="1"/>
  <c r="C288" i="5" a="1"/>
  <c r="G129" i="5" a="1"/>
  <c r="H224" i="5" a="1"/>
  <c r="E73" i="5" a="1"/>
  <c r="G228" i="5" a="1"/>
  <c r="D277" i="5" a="1"/>
  <c r="D322" i="5" a="1"/>
  <c r="I413" i="5" a="1"/>
  <c r="D287" i="5" a="1"/>
  <c r="F36" i="5" a="1"/>
  <c r="C176" i="5" a="1"/>
  <c r="H198" i="5" a="1"/>
  <c r="C305" i="5" a="1"/>
  <c r="F27" i="5" a="1"/>
  <c r="I185" i="5" a="1"/>
  <c r="I418" i="5" a="1"/>
  <c r="G320" i="5" a="1"/>
  <c r="G178" i="5" a="1"/>
  <c r="F263" i="5" a="1"/>
  <c r="D169" i="5" a="1"/>
  <c r="D269" i="5" a="1"/>
  <c r="H347" i="5" a="1"/>
  <c r="E101" i="5" a="1"/>
  <c r="H450" i="5" a="1"/>
  <c r="I325" i="5" a="1"/>
  <c r="G130" i="5" a="1"/>
  <c r="H241" i="5" a="1"/>
  <c r="D130" i="5" a="1"/>
  <c r="E373" i="5" a="1"/>
  <c r="G125" i="5" a="1"/>
  <c r="D31" i="5" a="1"/>
  <c r="C70" i="5" a="1"/>
  <c r="E142" i="5" a="1"/>
  <c r="C27" i="5" a="1"/>
  <c r="F78" i="5" a="1"/>
  <c r="D135" i="5" a="1"/>
  <c r="F141" i="5" a="1"/>
  <c r="H207" i="5" a="1"/>
  <c r="F55" i="5" a="1"/>
  <c r="C332" i="5" a="1"/>
  <c r="D229" i="5" a="1"/>
  <c r="I66" i="5" a="1"/>
  <c r="H308" i="5" a="1"/>
  <c r="H76" i="5" a="1"/>
  <c r="E310" i="5" a="1"/>
  <c r="G20" i="5" a="1"/>
  <c r="C57" i="5" a="1"/>
  <c r="I94" i="5" a="1"/>
  <c r="F28" i="5" a="1"/>
  <c r="H70" i="5" a="1"/>
  <c r="H106" i="5" a="1"/>
  <c r="H114" i="5" a="1"/>
  <c r="D151" i="5" a="1"/>
  <c r="I78" i="5" a="1"/>
  <c r="I145" i="5" a="1"/>
  <c r="I167" i="5" a="1"/>
  <c r="F41" i="5" a="1"/>
  <c r="E54" i="5" a="1"/>
  <c r="D121" i="5" a="1"/>
  <c r="I172" i="5" a="1"/>
  <c r="G268" i="5" a="1"/>
  <c r="G164" i="5" a="1"/>
  <c r="C345" i="5" a="1"/>
  <c r="E246" i="5" a="1"/>
  <c r="G100" i="5" a="1"/>
  <c r="C137" i="5" a="1"/>
  <c r="H64" i="5" a="1"/>
  <c r="F132" i="5" a="1"/>
  <c r="G148" i="5" a="1"/>
  <c r="E188" i="5" a="1"/>
  <c r="I31" i="5" a="1"/>
  <c r="E97" i="5" a="1"/>
  <c r="F154" i="5" a="1"/>
  <c r="F254" i="5" a="1"/>
  <c r="G128" i="5" a="1"/>
  <c r="I329" i="5" a="1"/>
  <c r="G225" i="5" a="1"/>
  <c r="G77" i="5" a="1"/>
  <c r="C237" i="5" a="1"/>
  <c r="G104" i="5" a="1"/>
  <c r="F126" i="5" a="1"/>
  <c r="E18" i="5" a="1"/>
  <c r="G90" i="5" a="1"/>
  <c r="G156" i="5" a="1"/>
  <c r="G179" i="5" a="1"/>
  <c r="D62" i="5" a="1"/>
  <c r="H71" i="5" a="1"/>
  <c r="H133" i="5" a="1"/>
  <c r="E191" i="5" a="1"/>
  <c r="E280" i="5" a="1"/>
  <c r="H177" i="5" a="1"/>
  <c r="H355" i="5" a="1"/>
  <c r="C258" i="5" a="1"/>
  <c r="E143" i="5" a="1"/>
  <c r="G258" i="5" a="1"/>
  <c r="E162" i="5" a="1"/>
  <c r="E152" i="5" a="1"/>
  <c r="D44" i="5" a="1"/>
  <c r="F116" i="5" a="1"/>
  <c r="D184" i="5" a="1"/>
  <c r="G44" i="5" a="1"/>
  <c r="C102" i="5" a="1"/>
  <c r="E116" i="5" a="1"/>
  <c r="D172" i="5" a="1"/>
  <c r="E209" i="5" a="1"/>
  <c r="D306" i="5" a="1"/>
  <c r="C205" i="5" a="1"/>
  <c r="G381" i="5" a="1"/>
  <c r="I282" i="5" a="1"/>
  <c r="E35" i="5" a="1"/>
  <c r="F284" i="5" a="1"/>
  <c r="E194" i="5" a="1"/>
  <c r="G49" i="5" a="1"/>
  <c r="I63" i="5" a="1"/>
  <c r="G220" i="5" a="1"/>
  <c r="E79" i="5" a="1"/>
  <c r="D165" i="5" a="1"/>
  <c r="D261" i="5" a="1"/>
  <c r="I76" i="5" a="1"/>
  <c r="G372" i="5" a="1"/>
  <c r="G126" i="5" a="1"/>
  <c r="H162" i="5" a="1"/>
  <c r="D196" i="5" a="1"/>
  <c r="G301" i="5" a="1"/>
  <c r="I23" i="5" a="1"/>
  <c r="E180" i="5" a="1"/>
  <c r="F416" i="5" a="1"/>
  <c r="H317" i="5" a="1"/>
  <c r="F176" i="5" a="1"/>
  <c r="G253" i="5" a="1"/>
  <c r="D154" i="5" a="1"/>
  <c r="C261" i="5" a="1"/>
  <c r="C341" i="5" a="1"/>
  <c r="I83" i="5" a="1"/>
  <c r="E448" i="5" a="1"/>
  <c r="C320" i="5" a="1"/>
  <c r="D128" i="5" a="1"/>
  <c r="G227" i="5" a="1"/>
  <c r="H109" i="5" a="1"/>
  <c r="I369" i="5" a="1"/>
  <c r="F95" i="5" a="1"/>
  <c r="C250" i="5" a="1"/>
  <c r="E30" i="5" a="1"/>
  <c r="C343" i="5" a="1"/>
  <c r="E215" i="5" a="1"/>
  <c r="F291" i="5" a="1"/>
  <c r="F205" i="5" a="1"/>
  <c r="F296" i="5" a="1"/>
  <c r="E84" i="5" a="1"/>
  <c r="H168" i="5" a="1"/>
  <c r="D474" i="5" a="1"/>
  <c r="I357" i="5" a="1"/>
  <c r="E90" i="5" a="1"/>
  <c r="G103" i="5" a="1"/>
  <c r="H237" i="5" a="1"/>
  <c r="C106" i="5" a="1"/>
  <c r="H184" i="5" a="1"/>
  <c r="D18" i="5" a="1"/>
  <c r="G53" i="5" a="1"/>
  <c r="F92" i="5" a="1"/>
  <c r="I22" i="5" a="1"/>
  <c r="E69" i="5" a="1"/>
  <c r="C105" i="5" a="1"/>
  <c r="C172" i="5" a="1"/>
  <c r="I166" i="5" a="1"/>
  <c r="G45" i="5" a="1"/>
  <c r="E96" i="5" a="1"/>
  <c r="F354" i="5" a="1"/>
  <c r="F247" i="5" a="1"/>
  <c r="G96" i="5" a="1"/>
  <c r="D332" i="5" a="1"/>
  <c r="H123" i="5" a="1"/>
  <c r="H332" i="5" a="1"/>
  <c r="C44" i="5" a="1"/>
  <c r="F79" i="5" a="1"/>
  <c r="E118" i="5" a="1"/>
  <c r="D45" i="5" a="1"/>
  <c r="G87" i="5" a="1"/>
  <c r="H131" i="5" a="1"/>
  <c r="D138" i="5" a="1"/>
  <c r="C30" i="5" a="1"/>
  <c r="E102" i="5" a="1"/>
  <c r="C170" i="5" a="1"/>
  <c r="I17" i="5" a="1"/>
  <c r="E81" i="5" a="1"/>
  <c r="E89" i="5" a="1"/>
  <c r="I162" i="5" a="1"/>
  <c r="F197" i="5" a="1"/>
  <c r="C292" i="5" a="1"/>
  <c r="I192" i="5" a="1"/>
  <c r="F367" i="5" a="1"/>
  <c r="H268" i="5" a="1"/>
  <c r="C124" i="5" a="1"/>
  <c r="F159" i="5" a="1"/>
  <c r="D88" i="5" a="1"/>
  <c r="D155" i="5" a="1"/>
  <c r="D177" i="5" a="1"/>
  <c r="F57" i="5" a="1"/>
  <c r="F65" i="5" a="1"/>
  <c r="G127" i="5" a="1"/>
  <c r="F183" i="5" a="1"/>
  <c r="I276" i="5" a="1"/>
  <c r="F174" i="5" a="1"/>
  <c r="E353" i="5" a="1"/>
  <c r="G254" i="5" a="1"/>
  <c r="C136" i="5" a="1"/>
  <c r="D256" i="5" a="1"/>
  <c r="E151" i="5" a="1"/>
  <c r="I148" i="5" a="1"/>
  <c r="H40" i="5" a="1"/>
  <c r="C114" i="5" a="1"/>
  <c r="H180" i="5" a="1"/>
  <c r="E40" i="5" a="1"/>
  <c r="D97" i="5" a="1"/>
  <c r="C113" i="5" a="1"/>
  <c r="F169" i="5" a="1"/>
  <c r="I205" i="5" a="1"/>
  <c r="H302" i="5" a="1"/>
  <c r="I203" i="5" a="1"/>
  <c r="D379" i="5" a="1"/>
  <c r="F280" i="5" a="1"/>
  <c r="H33" i="5" a="1"/>
  <c r="C282" i="5" a="1"/>
  <c r="E189" i="5" a="1"/>
  <c r="H27" i="5" a="1"/>
  <c r="G66" i="5" a="1"/>
  <c r="I138" i="5" a="1"/>
  <c r="H25" i="5" a="1"/>
  <c r="D74" i="5" a="1"/>
  <c r="F133" i="5" a="1"/>
  <c r="E138" i="5" a="1"/>
  <c r="E205" i="5" a="1"/>
  <c r="D53" i="5" a="1"/>
  <c r="G328" i="5" a="1"/>
  <c r="C223" i="5" a="1"/>
  <c r="I64" i="5" a="1"/>
  <c r="E306" i="5" a="1"/>
  <c r="F69" i="5" a="1"/>
  <c r="I306" i="5" a="1"/>
  <c r="D234" i="5" a="1"/>
  <c r="F172" i="5" a="1"/>
  <c r="G147" i="5" a="1"/>
  <c r="F274" i="5" a="1"/>
  <c r="G182" i="5" a="1"/>
  <c r="H218" i="5" a="1"/>
  <c r="D285" i="5" a="1"/>
  <c r="G131" i="5" a="1"/>
  <c r="D401" i="5" a="1"/>
  <c r="D108" i="5" a="1"/>
  <c r="D225" i="5" a="1"/>
  <c r="D79" i="5" a="1"/>
  <c r="C365" i="5" a="1"/>
  <c r="H93" i="5" a="1"/>
  <c r="E244" i="5" a="1"/>
  <c r="G17" i="5" a="1"/>
  <c r="H341" i="5" a="1"/>
  <c r="D212" i="5" a="1"/>
  <c r="D290" i="5" a="1"/>
  <c r="F201" i="5" a="1"/>
  <c r="C293" i="5" a="1"/>
  <c r="D82" i="5" a="1"/>
  <c r="D150" i="5" a="1"/>
  <c r="H470" i="5" a="1"/>
  <c r="C351" i="5" a="1"/>
  <c r="F80" i="5" a="1"/>
  <c r="F100" i="5" a="1"/>
  <c r="F225" i="5" a="1"/>
  <c r="F98" i="5" a="1"/>
  <c r="I171" i="5" a="1"/>
  <c r="F265" i="5" a="1"/>
  <c r="F90" i="5" a="1"/>
  <c r="G383" i="5" a="1"/>
  <c r="F43" i="5" a="1"/>
  <c r="F315" i="5" a="1"/>
  <c r="C235" i="5" a="1"/>
  <c r="D325" i="5" a="1"/>
  <c r="G159" i="5" a="1"/>
  <c r="F236" i="5" a="1"/>
  <c r="G496" i="5" a="1"/>
  <c r="H381" i="5" a="1"/>
  <c r="E198" i="5" a="1"/>
  <c r="D180" i="5" a="1"/>
  <c r="I296" i="5" a="1"/>
  <c r="D218" i="5" a="1"/>
  <c r="G40" i="5" a="1"/>
  <c r="C77" i="5" a="1"/>
  <c r="I114" i="5" a="1"/>
  <c r="I43" i="5" a="1"/>
  <c r="D86" i="5" a="1"/>
  <c r="E130" i="5" a="1"/>
  <c r="F189" i="5" a="1"/>
  <c r="D30" i="5" a="1"/>
  <c r="C66" i="5" a="1"/>
  <c r="I157" i="5" a="1"/>
  <c r="I376" i="5" a="1"/>
  <c r="I269" i="5" a="1"/>
  <c r="H139" i="5" a="1"/>
  <c r="G354" i="5" a="1"/>
  <c r="C155" i="5" a="1"/>
  <c r="D356" i="5" a="1"/>
  <c r="F66" i="5" a="1"/>
  <c r="I101" i="5" a="1"/>
  <c r="G30" i="5" a="1"/>
  <c r="H77" i="5" a="1"/>
  <c r="G111" i="5" a="1"/>
  <c r="D157" i="5" a="1"/>
  <c r="G160" i="5" a="1"/>
  <c r="F52" i="5" a="1"/>
  <c r="H124" i="5" a="1"/>
  <c r="F192" i="5" a="1"/>
  <c r="H58" i="5" a="1"/>
  <c r="E108" i="5" a="1"/>
  <c r="D129" i="5" a="1"/>
  <c r="E184" i="5" a="1"/>
  <c r="G32" i="5" a="1"/>
  <c r="F314" i="5" a="1"/>
  <c r="F210" i="5" a="1"/>
  <c r="I32" i="5" a="1"/>
  <c r="D292" i="5" a="1"/>
  <c r="F146" i="5" a="1"/>
  <c r="E38" i="5" a="1"/>
  <c r="G110" i="5" a="1"/>
  <c r="E178" i="5" a="1"/>
  <c r="F30" i="5" a="1"/>
  <c r="H95" i="5" a="1"/>
  <c r="D105" i="5" a="1"/>
  <c r="D168" i="5" a="1"/>
  <c r="F203" i="5" a="1"/>
  <c r="E300" i="5" a="1"/>
  <c r="I199" i="5" a="1"/>
  <c r="H375" i="5" a="1"/>
  <c r="C278" i="5" a="1"/>
  <c r="G29" i="5" a="1"/>
  <c r="G278" i="5" a="1"/>
  <c r="F187" i="5" a="1"/>
  <c r="E25" i="5" a="1"/>
  <c r="D64" i="5" a="1"/>
  <c r="F136" i="5" a="1"/>
  <c r="F21" i="5" a="1"/>
  <c r="I72" i="5" a="1"/>
  <c r="F127" i="5" a="1"/>
  <c r="I136" i="5" a="1"/>
  <c r="I201" i="5" a="1"/>
  <c r="E49" i="5" a="1"/>
  <c r="D326" i="5" a="1"/>
  <c r="C218" i="5" a="1"/>
  <c r="G55" i="5" a="1"/>
  <c r="I302" i="5" a="1"/>
  <c r="H61" i="5" a="1"/>
  <c r="F304" i="5" a="1"/>
  <c r="H232" i="5" a="1"/>
  <c r="D51" i="5" a="1"/>
  <c r="C90" i="5" a="1"/>
  <c r="G18" i="5" a="1"/>
  <c r="G59" i="5" a="1"/>
  <c r="H103" i="5" a="1"/>
  <c r="E169" i="5" a="1"/>
  <c r="F155" i="5" a="1"/>
  <c r="H43" i="5" a="1"/>
  <c r="F94" i="5" a="1"/>
  <c r="C352" i="5" a="1"/>
  <c r="C245" i="5" a="1"/>
  <c r="C87" i="5" a="1"/>
  <c r="H328" i="5" a="1"/>
  <c r="D116" i="5" a="1"/>
  <c r="E330" i="5" a="1"/>
  <c r="I48" i="5" a="1"/>
  <c r="D93" i="5" a="1"/>
  <c r="G57" i="5" a="1"/>
  <c r="E340" i="5" a="1"/>
  <c r="D252" i="5" a="1"/>
  <c r="E270" i="5" a="1"/>
  <c r="F313" i="5" a="1"/>
  <c r="I183" i="5" a="1"/>
  <c r="G423" i="5" a="1"/>
  <c r="I53" i="5" a="1"/>
  <c r="C86" i="5" a="1"/>
  <c r="D224" i="5" a="1"/>
  <c r="G81" i="5" a="1"/>
  <c r="D170" i="5" a="1"/>
  <c r="C264" i="5" a="1"/>
  <c r="F88" i="5" a="1"/>
  <c r="D378" i="5" a="1"/>
  <c r="E41" i="5" a="1"/>
  <c r="C314" i="5" a="1"/>
  <c r="G233" i="5" a="1"/>
  <c r="H323" i="5" a="1"/>
  <c r="F149" i="5" a="1"/>
  <c r="F232" i="5" a="1"/>
  <c r="D494" i="5" a="1"/>
  <c r="C380" i="5" a="1"/>
  <c r="I194" i="5" a="1"/>
  <c r="I170" i="5" a="1"/>
  <c r="F294" i="5" a="1"/>
  <c r="H195" i="5" a="1"/>
  <c r="H234" i="5" a="1"/>
  <c r="H293" i="5" a="1"/>
  <c r="H153" i="5" a="1"/>
  <c r="C407" i="5" a="1"/>
  <c r="F114" i="5" a="1"/>
  <c r="H343" i="5" a="1"/>
  <c r="C269" i="5" a="1"/>
  <c r="C92" i="5" a="1"/>
  <c r="H225" i="5" a="1"/>
  <c r="I277" i="5" a="1"/>
  <c r="H26" i="5" a="1"/>
  <c r="H74" i="5" a="1"/>
  <c r="F121" i="5" a="1"/>
  <c r="F89" i="5" a="1"/>
  <c r="H362" i="5" a="1"/>
  <c r="G274" i="5" a="1"/>
  <c r="C64" i="5" a="1"/>
  <c r="F99" i="5" a="1"/>
  <c r="D28" i="5" a="1"/>
  <c r="G63" i="5" a="1"/>
  <c r="E107" i="5" a="1"/>
  <c r="F150" i="5" a="1"/>
  <c r="I215" i="5" a="1"/>
  <c r="C51" i="5" a="1"/>
  <c r="D101" i="5" a="1"/>
  <c r="I211" i="5" a="1"/>
  <c r="F51" i="5" a="1"/>
  <c r="E293" i="5" a="1"/>
  <c r="I177" i="5" a="1"/>
  <c r="C378" i="5" a="1"/>
  <c r="H181" i="5" a="1"/>
  <c r="G378" i="5" a="1"/>
  <c r="I88" i="5" a="1"/>
  <c r="E125" i="5" a="1"/>
  <c r="C54" i="5" a="1"/>
  <c r="H108" i="5" a="1"/>
  <c r="I133" i="5" a="1"/>
  <c r="G176" i="5" a="1"/>
  <c r="C37" i="5" a="1"/>
  <c r="I74" i="5" a="1"/>
  <c r="D148" i="5" a="1"/>
  <c r="G35" i="5" a="1"/>
  <c r="E88" i="5" a="1"/>
  <c r="E158" i="5" a="1"/>
  <c r="C146" i="5" a="1"/>
  <c r="H19" i="5" a="1"/>
  <c r="H66" i="5" a="1"/>
  <c r="I336" i="5" a="1"/>
  <c r="E235" i="5" a="1"/>
  <c r="I75" i="5" a="1"/>
  <c r="F26" i="5" a="1"/>
  <c r="I21" i="5" a="1"/>
  <c r="H60" i="5" a="1"/>
  <c r="C134" i="5" a="1"/>
  <c r="D17" i="5" a="1"/>
  <c r="G68" i="5" a="1"/>
  <c r="E124" i="5" a="1"/>
  <c r="E135" i="5" a="1"/>
  <c r="I190" i="5" a="1"/>
  <c r="I47" i="5" a="1"/>
  <c r="H322" i="5" a="1"/>
  <c r="H215" i="5" a="1"/>
  <c r="I49" i="5" a="1"/>
  <c r="F300" i="5" a="1"/>
  <c r="I59" i="5" a="1"/>
  <c r="C302" i="5" a="1"/>
  <c r="D231" i="5" a="1"/>
  <c r="H47" i="5" a="1"/>
  <c r="G86" i="5" a="1"/>
  <c r="I158" i="5" a="1"/>
  <c r="E55" i="5" a="1"/>
  <c r="F102" i="5" a="1"/>
  <c r="C168" i="5" a="1"/>
  <c r="I153" i="5" a="1"/>
  <c r="D42" i="5" a="1"/>
  <c r="C83" i="5" a="1"/>
  <c r="G348" i="5" a="1"/>
  <c r="H242" i="5" a="1"/>
  <c r="D85" i="5" a="1"/>
  <c r="E326" i="5" a="1"/>
  <c r="F110" i="5" a="1"/>
  <c r="I326" i="5" a="1"/>
  <c r="D38" i="5" a="1"/>
  <c r="G73" i="5" a="1"/>
  <c r="F112" i="5" a="1"/>
  <c r="G42" i="5" a="1"/>
  <c r="I84" i="5" a="1"/>
  <c r="C129" i="5" a="1"/>
  <c r="D188" i="5" a="1"/>
  <c r="D25" i="5" a="1"/>
  <c r="G64" i="5" a="1"/>
  <c r="C156" i="5" a="1"/>
  <c r="F374" i="5" a="1"/>
  <c r="F267" i="5" a="1"/>
  <c r="D132" i="5" a="1"/>
  <c r="D352" i="5" a="1"/>
  <c r="E153" i="5" a="1"/>
  <c r="H352" i="5" a="1"/>
  <c r="G140" i="5" a="1"/>
  <c r="D19" i="5" a="1"/>
  <c r="C126" i="5" a="1"/>
  <c r="E68" i="5" a="1"/>
  <c r="G314" i="5" a="1"/>
  <c r="D316" i="5" a="1"/>
  <c r="C350" i="5" a="1"/>
  <c r="H210" i="5" a="1"/>
  <c r="H21" i="5" a="1"/>
  <c r="I174" i="5" a="1"/>
  <c r="H150" i="5" a="1"/>
  <c r="G288" i="5" a="1"/>
  <c r="G191" i="5" a="1"/>
  <c r="I224" i="5" a="1"/>
  <c r="F289" i="5" a="1"/>
  <c r="E140" i="5" a="1"/>
  <c r="G403" i="5" a="1"/>
  <c r="G109" i="5" a="1"/>
  <c r="F339" i="5" a="1"/>
  <c r="G267" i="5" a="1"/>
  <c r="G89" i="5" a="1"/>
  <c r="E220" i="5" a="1"/>
  <c r="F266" i="5" a="1"/>
  <c r="E23" i="5" a="1"/>
  <c r="E72" i="5" a="1"/>
  <c r="D117" i="5" a="1"/>
  <c r="C67" i="5" a="1"/>
  <c r="I356" i="5" a="1"/>
  <c r="D272" i="5" a="1"/>
  <c r="D276" i="5" a="1"/>
  <c r="G327" i="5" a="1"/>
  <c r="F194" i="5" a="1"/>
  <c r="F429" i="5" a="1"/>
  <c r="C159" i="5" a="1"/>
  <c r="D380" i="5" a="1"/>
  <c r="G27" i="5" a="1"/>
  <c r="D167" i="5" a="1"/>
  <c r="H251" i="5" a="1"/>
  <c r="E327" i="5" a="1"/>
  <c r="G143" i="5" a="1"/>
  <c r="F19" i="5" a="1"/>
  <c r="E64" i="5" a="1"/>
  <c r="G165" i="5" a="1"/>
  <c r="E117" i="5" a="1"/>
  <c r="G334" i="5" a="1"/>
  <c r="F86" i="5" a="1"/>
  <c r="I121" i="5" a="1"/>
  <c r="D174" i="5" a="1"/>
  <c r="I232" i="5" a="1"/>
  <c r="D57" i="5" a="1"/>
  <c r="H147" i="5" a="1"/>
  <c r="C24" i="5" a="1"/>
  <c r="C72" i="5" a="1"/>
  <c r="H48" i="5" a="1"/>
  <c r="C100" i="5" a="1"/>
  <c r="F156" i="5" a="1"/>
  <c r="D152" i="5" a="1"/>
  <c r="F241" i="5" a="1"/>
  <c r="F324" i="5" a="1"/>
  <c r="C41" i="5" a="1"/>
  <c r="H23" i="5" a="1"/>
  <c r="C265" i="5" a="1"/>
  <c r="E350" i="5" a="1"/>
  <c r="E59" i="5" a="1"/>
  <c r="H49" i="5" a="1"/>
  <c r="I289" i="5" a="1"/>
  <c r="D376" i="5" a="1"/>
  <c r="C171" i="5" a="1"/>
  <c r="I245" i="5" a="1"/>
  <c r="H342" i="5" a="1"/>
  <c r="G187" i="5" a="1"/>
  <c r="G25" i="5" a="1"/>
  <c r="C122" i="5" a="1"/>
  <c r="C85" i="5" a="1"/>
  <c r="C221" i="5" a="1"/>
  <c r="G105" i="5" a="1"/>
  <c r="G216" i="5" a="1"/>
  <c r="G195" i="5" a="1"/>
  <c r="E133" i="5" a="1"/>
  <c r="I398" i="5" a="1"/>
  <c r="G296" i="5" a="1"/>
  <c r="I142" i="5" a="1"/>
  <c r="G230" i="5" a="1"/>
  <c r="H97" i="5" a="1"/>
  <c r="H246" i="5" a="1"/>
  <c r="I299" i="5" a="1"/>
  <c r="F328" i="5" a="1"/>
  <c r="G424" i="5" a="1"/>
  <c r="H298" i="5" a="1"/>
  <c r="E82" i="5" a="1"/>
  <c r="H201" i="5" a="1"/>
  <c r="I45" i="5" a="1"/>
  <c r="G341" i="5" a="1"/>
  <c r="C56" i="5" a="1"/>
  <c r="I229" i="5" a="1"/>
  <c r="G430" i="5" a="1"/>
  <c r="C333" i="5" a="1"/>
  <c r="C196" i="5" a="1"/>
  <c r="I278" i="5" a="1"/>
  <c r="E185" i="5" a="1"/>
  <c r="E288" i="5" a="1"/>
  <c r="E39" i="5" a="1"/>
  <c r="C125" i="5" a="1"/>
  <c r="F462" i="5" a="1"/>
  <c r="C339" i="5" a="1"/>
  <c r="H32" i="5" a="1"/>
  <c r="F62" i="5" a="1"/>
  <c r="F191" i="5" a="1"/>
  <c r="D72" i="5" a="1"/>
  <c r="E160" i="5" a="1"/>
  <c r="C257" i="5" a="1"/>
  <c r="F60" i="5" a="1"/>
  <c r="E368" i="5" a="1"/>
  <c r="D29" i="5" a="1"/>
  <c r="G305" i="5" a="1"/>
  <c r="F228" i="5" a="1"/>
  <c r="I315" i="5" a="1"/>
  <c r="E139" i="5" a="1"/>
  <c r="E218" i="5" a="1"/>
  <c r="E488" i="5" a="1"/>
  <c r="D375" i="5" a="1"/>
  <c r="D366" i="5" a="1"/>
  <c r="I200" i="5" a="1"/>
  <c r="I388" i="5" a="1"/>
  <c r="F142" i="5" a="1"/>
  <c r="G300" i="5" a="1"/>
  <c r="C128" i="5" a="1"/>
  <c r="C466" i="5" a="1"/>
  <c r="H336" i="5" a="1"/>
  <c r="D193" i="5" a="1"/>
  <c r="F514" i="5" a="1"/>
  <c r="D394" i="5" a="1"/>
  <c r="I206" i="5" a="1"/>
  <c r="I487" i="5" a="1"/>
  <c r="C374" i="5" a="1"/>
  <c r="C147" i="5" a="1"/>
  <c r="D545" i="5" a="1"/>
  <c r="F327" i="5" a="1"/>
  <c r="H331" i="5" a="1"/>
  <c r="E123" i="5" a="1"/>
  <c r="I267" i="5" a="1"/>
  <c r="I389" i="5" a="1"/>
  <c r="E187" i="5" a="1"/>
  <c r="I490" i="5" a="1"/>
  <c r="H383" i="5" a="1"/>
  <c r="E267" i="5" a="1"/>
  <c r="G540" i="5" a="1"/>
  <c r="H433" i="5" a="1"/>
  <c r="E263" i="5" a="1"/>
  <c r="D524" i="5" a="1"/>
  <c r="E407" i="5" a="1"/>
  <c r="F253" i="5" a="1"/>
  <c r="D456" i="5" a="1"/>
  <c r="E371" i="5" a="1"/>
  <c r="C22" i="5" a="1"/>
  <c r="I252" i="5" a="1"/>
  <c r="I191" i="5" a="1"/>
  <c r="G52" i="5" a="1"/>
  <c r="I444" i="5" a="1"/>
  <c r="C493" i="5" a="1"/>
  <c r="I393" i="5" a="1"/>
  <c r="G250" i="5" a="1"/>
  <c r="G486" i="5" a="1"/>
  <c r="D432" i="5" a="1"/>
  <c r="E252" i="5" a="1"/>
  <c r="I541" i="5" a="1"/>
  <c r="I400" i="5" a="1"/>
  <c r="I188" i="5" a="1"/>
  <c r="C523" i="5" a="1"/>
  <c r="C469" i="5" a="1"/>
  <c r="D430" i="5" a="1"/>
  <c r="E66" i="5" a="1"/>
  <c r="E36" i="5" a="1"/>
  <c r="I355" i="5" a="1"/>
  <c r="D24" i="5" a="1"/>
  <c r="F68" i="5" a="1"/>
  <c r="D286" i="5" a="1"/>
  <c r="D163" i="5" a="1"/>
  <c r="C50" i="5" a="1"/>
  <c r="I68" i="5" a="1"/>
  <c r="I115" i="5" a="1"/>
  <c r="E104" i="5" a="1"/>
  <c r="D187" i="5" a="1"/>
  <c r="D55" i="5" a="1"/>
  <c r="I44" i="5" a="1"/>
  <c r="C285" i="5" a="1"/>
  <c r="E370" i="5" a="1"/>
  <c r="G94" i="5" a="1"/>
  <c r="G76" i="5" a="1"/>
  <c r="I309" i="5" a="1"/>
  <c r="C65" i="5" a="1"/>
  <c r="C139" i="5" a="1"/>
  <c r="F105" i="5" a="1"/>
  <c r="H335" i="5" a="1"/>
  <c r="H110" i="5" a="1"/>
  <c r="H295" i="5" a="1"/>
  <c r="E316" i="5" a="1"/>
  <c r="H188" i="5" a="1"/>
  <c r="D247" i="5" a="1"/>
  <c r="E159" i="5" a="1"/>
  <c r="H245" i="5" a="1"/>
  <c r="I249" i="5" a="1"/>
  <c r="E292" i="5" a="1"/>
  <c r="G238" i="5" a="1"/>
  <c r="D289" i="5" a="1"/>
  <c r="D319" i="5" a="1"/>
  <c r="C212" i="5" a="1"/>
  <c r="E422" i="5" a="1"/>
  <c r="H324" i="5" a="1"/>
  <c r="F180" i="5" a="1"/>
  <c r="C266" i="5" a="1"/>
  <c r="E174" i="5" a="1"/>
  <c r="E272" i="5" a="1"/>
  <c r="D349" i="5" a="1"/>
  <c r="D107" i="5" a="1"/>
  <c r="D454" i="5" a="1"/>
  <c r="H327" i="5" a="1"/>
  <c r="C31" i="5" a="1"/>
  <c r="I52" i="5" a="1"/>
  <c r="H167" i="5" a="1"/>
  <c r="G38" i="5" a="1"/>
  <c r="H136" i="5" a="1"/>
  <c r="G255" i="5" a="1"/>
  <c r="G58" i="5" a="1"/>
  <c r="F358" i="5" a="1"/>
  <c r="G22" i="5" a="1"/>
  <c r="D304" i="5" a="1"/>
  <c r="H223" i="5" a="1"/>
  <c r="F312" i="5" a="1"/>
  <c r="I134" i="5" a="1"/>
  <c r="G212" i="5" a="1"/>
  <c r="I484" i="5" a="1"/>
  <c r="G370" i="5" a="1"/>
  <c r="G152" i="5" a="1"/>
  <c r="G144" i="5" a="1"/>
  <c r="C272" i="5" a="1"/>
  <c r="D156" i="5" a="1"/>
  <c r="F217" i="5" a="1"/>
  <c r="I283" i="5" a="1"/>
  <c r="F129" i="5" a="1"/>
  <c r="H397" i="5" a="1"/>
  <c r="C101" i="5" a="1"/>
  <c r="I333" i="5" a="1"/>
  <c r="G262" i="5" a="1"/>
  <c r="I73" i="5" a="1"/>
  <c r="H203" i="5" a="1"/>
  <c r="D255" i="5" a="1"/>
  <c r="H510" i="5" a="1"/>
  <c r="G396" i="5" a="1"/>
  <c r="C325" i="5" a="1"/>
  <c r="F330" i="5" a="1"/>
  <c r="F118" i="5" a="1"/>
  <c r="H259" i="5" a="1"/>
  <c r="F378" i="5" a="1"/>
  <c r="H182" i="5" a="1"/>
  <c r="F488" i="5" a="1"/>
  <c r="C379" i="5" a="1"/>
  <c r="E265" i="5" a="1"/>
  <c r="D538" i="5" a="1"/>
  <c r="I430" i="5" a="1"/>
  <c r="D257" i="5" a="1"/>
  <c r="H520" i="5" a="1"/>
  <c r="H405" i="5" a="1"/>
  <c r="G242" i="5" a="1"/>
  <c r="D98" i="5" a="1"/>
  <c r="G294" i="5" a="1"/>
  <c r="H437" i="5" a="1"/>
  <c r="F251" i="5" a="1"/>
  <c r="I20" i="5" a="1"/>
  <c r="E419" i="5" a="1"/>
  <c r="F240" i="5" a="1"/>
  <c r="E514" i="5" a="1"/>
  <c r="I403" i="5" a="1"/>
  <c r="E304" i="5" a="1"/>
  <c r="G24" i="5" a="1"/>
  <c r="E462" i="5" a="1"/>
  <c r="C300" i="5" a="1"/>
  <c r="G546" i="5" a="1"/>
  <c r="F441" i="5" a="1"/>
  <c r="E315" i="5" a="1"/>
  <c r="G555" i="5" a="1"/>
  <c r="I509" i="5" a="1"/>
  <c r="G177" i="5" a="1"/>
  <c r="G355" i="5" a="1"/>
  <c r="E249" i="5" a="1"/>
  <c r="F211" i="5" a="1"/>
  <c r="I504" i="5" a="1"/>
  <c r="F515" i="5" a="1"/>
  <c r="I424" i="5" a="1"/>
  <c r="G282" i="5" a="1"/>
  <c r="C510" i="5" a="1"/>
  <c r="I453" i="5" a="1"/>
  <c r="I310" i="5" a="1"/>
  <c r="G95" i="5" a="1"/>
  <c r="G438" i="5" a="1"/>
  <c r="C259" i="5" a="1"/>
  <c r="F545" i="5" a="1"/>
  <c r="G512" i="5" a="1"/>
  <c r="H261" i="5" a="1"/>
  <c r="I41" i="5" a="1"/>
  <c r="F340" i="5" a="1"/>
  <c r="G50" i="5" a="1"/>
  <c r="E239" i="5" a="1"/>
  <c r="F115" i="5" a="1"/>
  <c r="I213" i="5" a="1"/>
  <c r="F76" i="5" a="1"/>
  <c r="F59" i="5" a="1"/>
  <c r="F109" i="5" a="1"/>
  <c r="E113" i="5" a="1"/>
  <c r="I28" i="5" a="1"/>
  <c r="F45" i="5" a="1"/>
  <c r="E37" i="5" a="1"/>
  <c r="D83" i="5" a="1"/>
  <c r="H34" i="5" a="1"/>
  <c r="E83" i="5" a="1"/>
  <c r="C58" i="5" a="1"/>
  <c r="G115" i="5" a="1"/>
  <c r="G60" i="5" a="1"/>
  <c r="C103" i="5" a="1"/>
  <c r="H99" i="5" a="1"/>
  <c r="D166" i="5" a="1"/>
  <c r="E85" i="5" a="1"/>
  <c r="F360" i="5" a="1"/>
  <c r="E52" i="5" a="1"/>
  <c r="E266" i="5" a="1"/>
  <c r="C427" i="5" a="1"/>
  <c r="C162" i="5" a="1"/>
  <c r="C17" i="5" a="1"/>
  <c r="F320" i="5" a="1"/>
  <c r="C28" i="5" a="1"/>
  <c r="G205" i="5" a="1"/>
  <c r="D111" i="5" a="1"/>
  <c r="F380" i="5" a="1"/>
  <c r="E251" i="5" a="1"/>
  <c r="C33" i="5" a="1"/>
  <c r="I345" i="5" a="1"/>
  <c r="I216" i="5" a="1"/>
  <c r="E294" i="5" a="1"/>
  <c r="F209" i="5" a="1"/>
  <c r="H299" i="5" a="1"/>
  <c r="E100" i="5" a="1"/>
  <c r="H171" i="5" a="1"/>
  <c r="G476" i="5" a="1"/>
  <c r="F362" i="5" a="1"/>
  <c r="C151" i="5" a="1"/>
  <c r="C132" i="5" a="1"/>
  <c r="D266" i="5" a="1"/>
  <c r="I152" i="5" a="1"/>
  <c r="C203" i="5" a="1"/>
  <c r="G279" i="5" a="1"/>
  <c r="E120" i="5" a="1"/>
  <c r="E395" i="5" a="1"/>
  <c r="I82" i="5" a="1"/>
  <c r="G329" i="5" a="1"/>
  <c r="E256" i="5" a="1"/>
  <c r="E60" i="5" a="1"/>
  <c r="H183" i="5" a="1"/>
  <c r="D251" i="5" a="1"/>
  <c r="E508" i="5" a="1"/>
  <c r="C395" i="5" a="1"/>
  <c r="E76" i="5" a="1"/>
  <c r="C43" i="5" a="1"/>
  <c r="F334" i="5" a="1"/>
  <c r="H248" i="5" a="1"/>
  <c r="I266" i="5" a="1"/>
  <c r="D309" i="5" a="1"/>
  <c r="F170" i="5" a="1"/>
  <c r="D421" i="5" a="1"/>
  <c r="H141" i="5" a="1"/>
  <c r="H367" i="5" a="1"/>
  <c r="C20" i="5" a="1"/>
  <c r="I151" i="5" a="1"/>
  <c r="D245" i="5" a="1"/>
  <c r="G307" i="5" a="1"/>
  <c r="C75" i="5" a="1"/>
  <c r="H94" i="5" a="1"/>
  <c r="H288" i="5" a="1"/>
  <c r="E435" i="5" a="1"/>
  <c r="C230" i="5" a="1"/>
  <c r="C330" i="5" a="1"/>
  <c r="H416" i="5" a="1"/>
  <c r="F238" i="5" a="1"/>
  <c r="I510" i="5" a="1"/>
  <c r="I399" i="5" a="1"/>
  <c r="F295" i="5" a="1"/>
  <c r="G560" i="5" a="1"/>
  <c r="F459" i="5" a="1"/>
  <c r="I297" i="5" a="1"/>
  <c r="D544" i="5" a="1"/>
  <c r="C437" i="5" a="1"/>
  <c r="D313" i="5" a="1"/>
  <c r="E62" i="5" a="1"/>
  <c r="D54" i="5" a="1"/>
  <c r="E156" i="5" a="1"/>
  <c r="H78" i="5" a="1"/>
  <c r="G245" i="5" a="1"/>
  <c r="H443" i="5" a="1"/>
  <c r="C291" i="5" a="1"/>
  <c r="D141" i="5" a="1"/>
  <c r="E438" i="5" a="1"/>
  <c r="H346" i="5" a="1"/>
  <c r="F82" i="5" a="1"/>
  <c r="H487" i="5" a="1"/>
  <c r="F331" i="5" a="1"/>
  <c r="G559" i="5" a="1"/>
  <c r="C478" i="5" a="1"/>
  <c r="H370" i="5" a="1"/>
  <c r="D318" i="5" a="1"/>
  <c r="D294" i="5" a="1"/>
  <c r="G137" i="5" a="1"/>
  <c r="C49" i="5" a="1"/>
  <c r="E325" i="5" a="1"/>
  <c r="E336" i="5" a="1"/>
  <c r="I228" i="5" a="1"/>
  <c r="G107" i="5" a="1"/>
  <c r="F448" i="5" a="1"/>
  <c r="I313" i="5" a="1"/>
  <c r="H91" i="5" a="1"/>
  <c r="H494" i="5" a="1"/>
  <c r="F368" i="5" a="1"/>
  <c r="G117" i="5" a="1"/>
  <c r="E455" i="5" a="1"/>
  <c r="G331" i="5" a="1"/>
  <c r="E111" i="5" a="1"/>
  <c r="G535" i="5" a="1"/>
  <c r="C483" i="5" a="1"/>
  <c r="C154" i="5" a="1"/>
  <c r="C131" i="5" a="1"/>
  <c r="F96" i="5" a="1"/>
  <c r="F84" i="5" a="1"/>
  <c r="C187" i="5" a="1"/>
  <c r="F264" i="5" a="1"/>
  <c r="E122" i="5" a="1"/>
  <c r="E105" i="5" a="1"/>
  <c r="G158" i="5" a="1"/>
  <c r="I221" i="5" a="1"/>
  <c r="H54" i="5" a="1"/>
  <c r="F97" i="5" a="1"/>
  <c r="E80" i="5" a="1"/>
  <c r="I159" i="5" a="1"/>
  <c r="G80" i="5" a="1"/>
  <c r="C127" i="5" a="1"/>
  <c r="E131" i="5" a="1"/>
  <c r="D201" i="5" a="1"/>
  <c r="F106" i="5" a="1"/>
  <c r="H160" i="5" a="1"/>
  <c r="E163" i="5" a="1"/>
  <c r="F230" i="5" a="1"/>
  <c r="D124" i="5" a="1"/>
  <c r="D171" i="5" a="1"/>
  <c r="H87" i="5" a="1"/>
  <c r="I362" i="5" a="1"/>
  <c r="H72" i="5" a="1"/>
  <c r="C227" i="5" a="1"/>
  <c r="I54" i="5" a="1"/>
  <c r="E74" i="5" a="1"/>
  <c r="C138" i="5" a="1"/>
  <c r="G280" i="5" a="1"/>
  <c r="I38" i="5" a="1"/>
  <c r="G48" i="5" a="1"/>
  <c r="H269" i="5" a="1"/>
  <c r="E95" i="5" a="1"/>
  <c r="C387" i="5" a="1"/>
  <c r="H55" i="5" a="1"/>
  <c r="H319" i="5" a="1"/>
  <c r="F243" i="5" a="1"/>
  <c r="H326" i="5" a="1"/>
  <c r="D162" i="5" a="1"/>
  <c r="C242" i="5" a="1"/>
  <c r="C500" i="5" a="1"/>
  <c r="F388" i="5" a="1"/>
  <c r="F73" i="5" a="1"/>
  <c r="G41" i="5" a="1"/>
  <c r="E320" i="5" a="1"/>
  <c r="I237" i="5" a="1"/>
  <c r="H252" i="5" a="1"/>
  <c r="I307" i="5" a="1"/>
  <c r="F166" i="5" a="1"/>
  <c r="H417" i="5" a="1"/>
  <c r="H132" i="5" a="1"/>
  <c r="C366" i="5" a="1"/>
  <c r="I294" i="5" a="1"/>
  <c r="G134" i="5" a="1"/>
  <c r="E240" i="5" a="1"/>
  <c r="I305" i="5" a="1"/>
  <c r="G71" i="5" a="1"/>
  <c r="G120" i="5" a="1"/>
  <c r="H173" i="5" a="1"/>
  <c r="F124" i="5" a="1"/>
  <c r="I26" i="5" a="1"/>
  <c r="D312" i="5" a="1"/>
  <c r="H312" i="5" a="1"/>
  <c r="E344" i="5" a="1"/>
  <c r="E207" i="5" a="1"/>
  <c r="I19" i="5" a="1"/>
  <c r="F175" i="5" a="1"/>
  <c r="H394" i="5" a="1"/>
  <c r="I65" i="5" a="1"/>
  <c r="D190" i="5" a="1"/>
  <c r="G264" i="5" a="1"/>
  <c r="C356" i="5" a="1"/>
  <c r="F200" i="5" a="1"/>
  <c r="I58" i="5" a="1"/>
  <c r="F50" i="5" a="1"/>
  <c r="C149" i="5" a="1"/>
  <c r="D49" i="5" a="1"/>
  <c r="I220" i="5" a="1"/>
  <c r="E441" i="5" a="1"/>
  <c r="E287" i="5" a="1"/>
  <c r="I132" i="5" a="1"/>
  <c r="F434" i="5" a="1"/>
  <c r="F335" i="5" a="1"/>
  <c r="F75" i="5" a="1"/>
  <c r="F483" i="5" a="1"/>
  <c r="I327" i="5" a="1"/>
  <c r="D557" i="5" a="1"/>
  <c r="E472" i="5" a="1"/>
  <c r="C368" i="5" a="1"/>
  <c r="D147" i="5" a="1"/>
  <c r="D296" i="5" a="1"/>
  <c r="H57" i="5" a="1"/>
  <c r="G251" i="5" a="1"/>
  <c r="H357" i="5" a="1"/>
  <c r="D467" i="5" a="1"/>
  <c r="F359" i="5" a="1"/>
  <c r="E204" i="5" a="1"/>
  <c r="H460" i="5" a="1"/>
  <c r="H395" i="5" a="1"/>
  <c r="G157" i="5" a="1"/>
  <c r="C517" i="5" a="1"/>
  <c r="D357" i="5" a="1"/>
  <c r="G62" i="5" a="1"/>
  <c r="F493" i="5" a="1"/>
  <c r="G431" i="5" a="1"/>
  <c r="E520" i="5" a="1"/>
  <c r="F391" i="5" a="1"/>
  <c r="I124" i="5" a="1"/>
  <c r="E228" i="5" a="1"/>
  <c r="I408" i="5" a="1"/>
  <c r="I181" i="5" a="1"/>
  <c r="F318" i="5" a="1"/>
  <c r="C140" i="5" a="1"/>
  <c r="I470" i="5" a="1"/>
  <c r="I351" i="5" a="1"/>
  <c r="C224" i="5" a="1"/>
  <c r="G520" i="5" a="1"/>
  <c r="D402" i="5" a="1"/>
  <c r="C217" i="5" a="1"/>
  <c r="D496" i="5" a="1"/>
  <c r="H379" i="5" a="1"/>
  <c r="D189" i="5" a="1"/>
  <c r="E555" i="5" a="1"/>
  <c r="C236" i="5" a="1"/>
  <c r="G92" i="5" a="1"/>
  <c r="C342" i="5" a="1"/>
  <c r="F104" i="5" a="1"/>
  <c r="F81" i="5" a="1"/>
  <c r="H315" i="5" a="1"/>
  <c r="G72" i="5" a="1"/>
  <c r="F144" i="5" a="1"/>
  <c r="E98" i="5" a="1"/>
  <c r="F177" i="5" a="1"/>
  <c r="E360" i="5" a="1"/>
  <c r="E45" i="5" a="1"/>
  <c r="H96" i="5" a="1"/>
  <c r="D81" i="5" a="1"/>
  <c r="I322" i="5" a="1"/>
  <c r="D71" i="5" a="1"/>
  <c r="D119" i="5" a="1"/>
  <c r="H152" i="5" a="1"/>
  <c r="H348" i="5" a="1"/>
  <c r="C97" i="5" a="1"/>
  <c r="D149" i="5" a="1"/>
  <c r="I207" i="5" a="1"/>
  <c r="G374" i="5" a="1"/>
  <c r="I139" i="5" a="1"/>
  <c r="C362" i="5" a="1"/>
  <c r="C96" i="5" a="1"/>
  <c r="H272" i="5" a="1"/>
  <c r="F152" i="5" a="1"/>
  <c r="D250" i="5" a="1"/>
  <c r="C60" i="5" a="1"/>
  <c r="C322" i="5" a="1"/>
  <c r="C181" i="5" a="1"/>
  <c r="F272" i="5" a="1"/>
  <c r="F162" i="5" a="1"/>
  <c r="F244" i="5" a="1"/>
  <c r="C295" i="5" a="1"/>
  <c r="C158" i="5" a="1"/>
  <c r="F409" i="5" a="1"/>
  <c r="E121" i="5" a="1"/>
  <c r="E349" i="5" a="1"/>
  <c r="H270" i="5" a="1"/>
  <c r="H105" i="5" a="1"/>
  <c r="H228" i="5" a="1"/>
  <c r="H281" i="5" a="1"/>
  <c r="C36" i="5" a="1"/>
  <c r="D118" i="5" a="1"/>
  <c r="E171" i="5" a="1"/>
  <c r="H111" i="5" a="1"/>
  <c r="I24" i="5" a="1"/>
  <c r="C298" i="5" a="1"/>
  <c r="G298" i="5" a="1"/>
  <c r="F341" i="5" a="1"/>
  <c r="H205" i="5" a="1"/>
  <c r="H17" i="5" a="1"/>
  <c r="E173" i="5" a="1"/>
  <c r="E392" i="5" a="1"/>
  <c r="D52" i="5" a="1"/>
  <c r="C188" i="5" a="1"/>
  <c r="E261" i="5" a="1"/>
  <c r="D344" i="5" a="1"/>
  <c r="H191" i="5" a="1"/>
  <c r="E65" i="5" a="1"/>
  <c r="C115" i="5" a="1"/>
  <c r="D211" i="5" a="1"/>
  <c r="G169" i="5" a="1"/>
  <c r="C358" i="5" a="1"/>
  <c r="G358" i="5" a="1"/>
  <c r="C364" i="5" a="1"/>
  <c r="C243" i="5" a="1"/>
  <c r="G54" i="5" a="1"/>
  <c r="C198" i="5" a="1"/>
  <c r="D418" i="5" a="1"/>
  <c r="I144" i="5" a="1"/>
  <c r="I223" i="5" a="1"/>
  <c r="F288" i="5" a="1"/>
  <c r="H385" i="5" a="1"/>
  <c r="H236" i="5" a="1"/>
  <c r="F140" i="5" a="1"/>
  <c r="H292" i="5" a="1"/>
  <c r="D34" i="5" a="1"/>
  <c r="D248" i="5" a="1"/>
  <c r="G342" i="5" a="1"/>
  <c r="H463" i="5" a="1"/>
  <c r="H354" i="5" a="1"/>
  <c r="D199" i="5" a="1"/>
  <c r="E458" i="5" a="1"/>
  <c r="D389" i="5" a="1"/>
  <c r="C150" i="5" a="1"/>
  <c r="H511" i="5" a="1"/>
  <c r="C355" i="5" a="1"/>
  <c r="D59" i="5" a="1"/>
  <c r="C492" i="5" a="1"/>
  <c r="I429" i="5" a="1"/>
  <c r="H190" i="5" a="1"/>
  <c r="H216" i="5" a="1"/>
  <c r="C177" i="5" a="1"/>
  <c r="E328" i="5" a="1"/>
  <c r="E436" i="5" a="1"/>
  <c r="G489" i="5" a="1"/>
  <c r="G392" i="5" a="1"/>
  <c r="G246" i="5" a="1"/>
  <c r="D484" i="5" a="1"/>
  <c r="G427" i="5" a="1"/>
  <c r="D236" i="5" a="1"/>
  <c r="F539" i="5" a="1"/>
  <c r="C399" i="5" a="1"/>
  <c r="I147" i="5" a="1"/>
  <c r="G519" i="5" a="1"/>
  <c r="E464" i="5" a="1"/>
  <c r="H353" i="5" a="1"/>
  <c r="H39" i="5" a="1"/>
  <c r="H30" i="5" a="1"/>
  <c r="D347" i="5" a="1"/>
  <c r="C142" i="5" a="1"/>
  <c r="I275" i="5" a="1"/>
  <c r="C391" i="5" a="1"/>
  <c r="E196" i="5" a="1"/>
  <c r="E494" i="5" a="1"/>
  <c r="E386" i="5" a="1"/>
  <c r="D274" i="5" a="1"/>
  <c r="C544" i="5" a="1"/>
  <c r="F435" i="5" a="1"/>
  <c r="H265" i="5" a="1"/>
  <c r="G526" i="5" a="1"/>
  <c r="C412" i="5" a="1"/>
  <c r="E258" i="5" a="1"/>
  <c r="D461" i="5" a="1"/>
  <c r="I379" i="5" a="1"/>
  <c r="G28" i="5" a="1"/>
  <c r="D254" i="5" a="1"/>
  <c r="D164" i="5" a="1"/>
  <c r="F158" i="5" a="1"/>
  <c r="G361" i="5" a="1"/>
  <c r="G172" i="5" a="1"/>
  <c r="C190" i="5" a="1"/>
  <c r="C34" i="5" a="1"/>
  <c r="H221" i="5" a="1"/>
  <c r="D70" i="5" a="1"/>
  <c r="D91" i="5" a="1"/>
  <c r="C145" i="5" a="1"/>
  <c r="F202" i="5" a="1"/>
  <c r="H368" i="5" a="1"/>
  <c r="C117" i="5" a="1"/>
  <c r="E168" i="5" a="1"/>
  <c r="E230" i="5" a="1"/>
  <c r="G51" i="5" a="1"/>
  <c r="I141" i="5" a="1"/>
  <c r="C25" i="5" a="1"/>
  <c r="E260" i="5" a="1"/>
  <c r="F85" i="5" a="1"/>
  <c r="E161" i="5" a="1"/>
  <c r="E176" i="5" a="1"/>
  <c r="C141" i="5" a="1"/>
  <c r="F364" i="5" a="1"/>
  <c r="I204" i="5" a="1"/>
  <c r="D293" i="5" a="1"/>
  <c r="I87" i="5" a="1"/>
  <c r="G102" i="5" a="1"/>
  <c r="H227" i="5" a="1"/>
  <c r="I323" i="5" a="1"/>
  <c r="I178" i="5" a="1"/>
  <c r="E290" i="5" a="1"/>
  <c r="E337" i="5" a="1"/>
  <c r="C199" i="5" a="1"/>
  <c r="I431" i="5" a="1"/>
  <c r="C161" i="5" a="1"/>
  <c r="C384" i="5" a="1"/>
  <c r="I33" i="5" a="1"/>
  <c r="I169" i="5" a="1"/>
  <c r="D253" i="5" a="1"/>
  <c r="G332" i="5" a="1"/>
  <c r="I165" i="5" a="1"/>
  <c r="I61" i="5" a="1"/>
  <c r="H113" i="5" a="1"/>
  <c r="G189" i="5" a="1"/>
  <c r="E154" i="5" a="1"/>
  <c r="I342" i="5" a="1"/>
  <c r="F344" i="5" a="1"/>
  <c r="D361" i="5" a="1"/>
  <c r="H238" i="5" a="1"/>
  <c r="D47" i="5" a="1"/>
  <c r="H196" i="5" a="1"/>
  <c r="H414" i="5" a="1"/>
  <c r="D142" i="5" a="1"/>
  <c r="C222" i="5" a="1"/>
  <c r="E285" i="5" a="1"/>
  <c r="E384" i="5" a="1"/>
  <c r="G234" i="5" a="1"/>
  <c r="C157" i="5" a="1"/>
  <c r="D46" i="5" a="1"/>
  <c r="G75" i="5" a="1"/>
  <c r="C234" i="5" a="1"/>
  <c r="C61" i="5" a="1"/>
  <c r="G74" i="5" a="1"/>
  <c r="D388" i="5" a="1"/>
  <c r="F282" i="5" a="1"/>
  <c r="F122" i="5" a="1"/>
  <c r="I218" i="5" a="1"/>
  <c r="D60" i="5" a="1"/>
  <c r="E213" i="5" a="1"/>
  <c r="I270" i="5" a="1"/>
  <c r="F317" i="5" a="1"/>
  <c r="D411" i="5" a="1"/>
  <c r="I281" i="5" a="1"/>
  <c r="I182" i="5" a="1"/>
  <c r="D215" i="5" a="1"/>
  <c r="G171" i="5" a="1"/>
  <c r="I318" i="5" a="1"/>
  <c r="G432" i="5" a="1"/>
  <c r="D487" i="5" a="1"/>
  <c r="D391" i="5" a="1"/>
  <c r="I244" i="5" a="1"/>
  <c r="H480" i="5" a="1"/>
  <c r="E424" i="5" a="1"/>
  <c r="E214" i="5" a="1"/>
  <c r="C537" i="5" a="1"/>
  <c r="F397" i="5" a="1"/>
  <c r="G145" i="5" a="1"/>
  <c r="D517" i="5" a="1"/>
  <c r="I462" i="5" a="1"/>
  <c r="I95" i="5" a="1"/>
  <c r="C340" i="5" a="1"/>
  <c r="D239" i="5" a="1"/>
  <c r="I197" i="5" a="1"/>
  <c r="F502" i="5" a="1"/>
  <c r="C513" i="5" a="1"/>
  <c r="E423" i="5" a="1"/>
  <c r="H276" i="5" a="1"/>
  <c r="G506" i="5" a="1"/>
  <c r="C451" i="5" a="1"/>
  <c r="G306" i="5" a="1"/>
  <c r="I561" i="5" a="1"/>
  <c r="E432" i="5" a="1"/>
  <c r="E245" i="5" a="1"/>
  <c r="C543" i="5" a="1"/>
  <c r="D499" i="5" a="1"/>
  <c r="C251" i="5" a="1"/>
  <c r="F39" i="5" a="1"/>
  <c r="C338" i="5" a="1"/>
  <c r="F40" i="5" a="1"/>
  <c r="I254" i="5" a="1"/>
  <c r="G47" i="5" a="1"/>
  <c r="E427" i="5" a="1"/>
  <c r="H249" i="5" a="1"/>
  <c r="F67" i="5" a="1"/>
  <c r="I407" i="5" a="1"/>
  <c r="E308" i="5" a="1"/>
  <c r="H98" i="5" a="1"/>
  <c r="D465" i="5" a="1"/>
  <c r="G302" i="5" a="1"/>
  <c r="C550" i="5" a="1"/>
  <c r="E451" i="5" a="1"/>
  <c r="F332" i="5" a="1"/>
  <c r="E103" i="5" a="1"/>
  <c r="C529" i="5" a="1"/>
  <c r="H185" i="5" a="1"/>
  <c r="C357" i="5" a="1"/>
  <c r="I129" i="5" a="1"/>
  <c r="F165" i="5" a="1"/>
  <c r="D84" i="5" a="1"/>
  <c r="C110" i="5" a="1"/>
  <c r="H24" i="5" a="1"/>
  <c r="C21" i="5" a="1"/>
  <c r="I378" i="5" a="1"/>
  <c r="C404" i="5" a="1"/>
  <c r="D354" i="5" a="1"/>
  <c r="F406" i="5" a="1"/>
  <c r="F370" i="5" a="1"/>
  <c r="I70" i="5" a="1"/>
  <c r="H384" i="5" a="1"/>
  <c r="C52" i="5" a="1"/>
  <c r="I405" i="5" a="1"/>
  <c r="C174" i="5" a="1"/>
  <c r="G410" i="5" a="1"/>
  <c r="F134" i="5" a="1"/>
  <c r="F442" i="5" a="1"/>
  <c r="E236" i="5" a="1"/>
  <c r="H420" i="5" a="1"/>
  <c r="E302" i="5" a="1"/>
  <c r="G539" i="5" a="1"/>
  <c r="C321" i="5" a="1"/>
  <c r="C446" i="5" a="1"/>
  <c r="H366" i="5" a="1"/>
  <c r="D92" i="5" a="1"/>
  <c r="E127" i="5" a="1"/>
  <c r="D447" i="5" a="1"/>
  <c r="G362" i="5" a="1"/>
  <c r="C18" i="5" a="1"/>
  <c r="F321" i="5" a="1"/>
  <c r="F107" i="5" a="1"/>
  <c r="H278" i="5" a="1"/>
  <c r="F381" i="5" a="1"/>
  <c r="C473" i="5" a="1"/>
  <c r="I373" i="5" a="1"/>
  <c r="H213" i="5" a="1"/>
  <c r="G466" i="5" a="1"/>
  <c r="H400" i="5" a="1"/>
  <c r="I176" i="5" a="1"/>
  <c r="I521" i="5" a="1"/>
  <c r="D370" i="5" a="1"/>
  <c r="H85" i="5" a="1"/>
  <c r="C499" i="5" a="1"/>
  <c r="I438" i="5" a="1"/>
  <c r="D26" i="5" a="1"/>
  <c r="F182" i="5" a="1"/>
  <c r="F23" i="5" a="1"/>
  <c r="D123" i="5" a="1"/>
  <c r="G283" i="5" a="1"/>
  <c r="F392" i="5" a="1"/>
  <c r="F475" i="5" a="1"/>
  <c r="I381" i="5" a="1"/>
  <c r="G221" i="5" a="1"/>
  <c r="C470" i="5" a="1"/>
  <c r="D410" i="5" a="1"/>
  <c r="D185" i="5" a="1"/>
  <c r="E525" i="5" a="1"/>
  <c r="G377" i="5" a="1"/>
  <c r="C111" i="5" a="1"/>
  <c r="E503" i="5" a="1"/>
  <c r="F440" i="5" a="1"/>
  <c r="E17" i="5" a="1"/>
  <c r="E299" i="5" a="1"/>
  <c r="G214" i="5" a="1"/>
  <c r="I154" i="5" a="1"/>
  <c r="C480" i="5" a="1"/>
  <c r="H503" i="5" a="1"/>
  <c r="H412" i="5" a="1"/>
  <c r="C267" i="5" a="1"/>
  <c r="E498" i="5" a="1"/>
  <c r="H442" i="5" a="1"/>
  <c r="G287" i="5" a="1"/>
  <c r="G553" i="5" a="1"/>
  <c r="E418" i="5" a="1"/>
  <c r="F224" i="5" a="1"/>
  <c r="H533" i="5" a="1"/>
  <c r="F487" i="5" a="1"/>
  <c r="E561" i="5" a="1"/>
  <c r="D127" i="5" a="1"/>
  <c r="E224" i="5" a="1"/>
  <c r="E415" i="5" a="1"/>
  <c r="C220" i="5" a="1"/>
  <c r="H320" i="5" a="1"/>
  <c r="D415" i="5" a="1"/>
  <c r="G232" i="5" a="1"/>
  <c r="F508" i="5" a="1"/>
  <c r="F398" i="5" a="1"/>
  <c r="E291" i="5" a="1"/>
  <c r="D558" i="5" a="1"/>
  <c r="D458" i="5" a="1"/>
  <c r="F257" i="5" a="1"/>
  <c r="I449" i="5" a="1"/>
  <c r="D498" i="5" a="1"/>
  <c r="G162" i="5" a="1"/>
  <c r="D340" i="5" a="1"/>
  <c r="F383" i="5" a="1"/>
  <c r="C133" i="5" a="1"/>
  <c r="I507" i="5" a="1"/>
  <c r="I447" i="5" a="1"/>
  <c r="F186" i="5" a="1"/>
  <c r="C554" i="5" a="1"/>
  <c r="E466" i="5" a="1"/>
  <c r="E233" i="5" a="1"/>
  <c r="G386" i="5" a="1"/>
  <c r="G149" i="5" a="1"/>
  <c r="E362" i="5" a="1"/>
  <c r="H551" i="5" a="1"/>
  <c r="G343" i="5" a="1"/>
  <c r="D519" i="5" a="1"/>
  <c r="G468" i="5" a="1"/>
  <c r="H112" i="5" a="1"/>
  <c r="I544" i="5" a="1"/>
  <c r="E369" i="5" a="1"/>
  <c r="C484" i="5" a="1"/>
  <c r="G181" i="5" a="1"/>
  <c r="I501" i="5" a="1"/>
  <c r="D396" i="5" a="1"/>
  <c r="I85" i="5" a="1"/>
  <c r="I485" i="5" a="1"/>
  <c r="I298" i="5" a="1"/>
  <c r="I261" i="5" a="1"/>
  <c r="C413" i="5" a="1"/>
  <c r="I80" i="5" a="1"/>
  <c r="G385" i="5" a="1"/>
  <c r="E442" i="5" a="1"/>
  <c r="E449" i="5" a="1"/>
  <c r="F184" i="5" a="1"/>
  <c r="H488" i="5" a="1"/>
  <c r="I234" i="5" a="1"/>
  <c r="H522" i="5" a="1"/>
  <c r="C509" i="5" a="1"/>
  <c r="D275" i="5" a="1"/>
  <c r="I421" i="5" a="1"/>
  <c r="I461" i="5" a="1"/>
  <c r="E526" i="5" a="1"/>
  <c r="H360" i="5" a="1"/>
  <c r="F148" i="5" a="1"/>
  <c r="F425" i="5" a="1"/>
  <c r="I477" i="5" a="1"/>
  <c r="C353" i="5" a="1"/>
  <c r="E137" i="5" a="1"/>
  <c r="C80" i="5" a="1"/>
  <c r="G545" i="5" a="1"/>
  <c r="C233" i="5" a="1"/>
  <c r="H37" i="5" a="1"/>
  <c r="C479" i="5" a="1"/>
  <c r="E216" i="5" a="1"/>
  <c r="E29" i="5" a="1"/>
  <c r="I518" i="5" a="1"/>
  <c r="H398" i="5" a="1"/>
  <c r="D526" i="5" a="1"/>
  <c r="F338" i="5" a="1"/>
  <c r="E475" i="5" a="1"/>
  <c r="I231" i="5" a="1"/>
  <c r="G561" i="5" a="1"/>
  <c r="G244" i="5" a="1"/>
  <c r="F220" i="5" a="1"/>
  <c r="H544" i="5" a="1"/>
  <c r="H521" i="5" a="1"/>
  <c r="H321" i="5" a="1"/>
  <c r="H130" i="5" a="1"/>
  <c r="I494" i="5" a="1"/>
  <c r="E394" i="5" a="1"/>
  <c r="E296" i="5" a="1"/>
  <c r="G313" i="5" a="1"/>
  <c r="G213" i="5" a="1"/>
  <c r="F190" i="5" a="1"/>
  <c r="D288" i="5" a="1"/>
  <c r="H166" i="5" a="1"/>
  <c r="H148" i="5" a="1"/>
  <c r="H330" i="5" a="1"/>
  <c r="H545" i="5" a="1"/>
  <c r="F511" i="5" a="1"/>
  <c r="F477" i="5" a="1"/>
  <c r="D515" i="5" a="1"/>
  <c r="F120" i="5" a="1"/>
  <c r="C386" i="5" a="1"/>
  <c r="I498" i="5" a="1"/>
  <c r="H194" i="5" a="1"/>
  <c r="D37" i="5" a="1"/>
  <c r="F560" i="5" a="1"/>
  <c r="D536" i="5" a="1"/>
  <c r="F290" i="5" a="1"/>
  <c r="H543" i="5" a="1"/>
  <c r="E67" i="5" a="1"/>
  <c r="G504" i="5" a="1"/>
  <c r="I415" i="5" a="1"/>
  <c r="D453" i="5" a="1"/>
  <c r="E289" i="5" a="1"/>
  <c r="G175" i="5" a="1"/>
  <c r="I67" i="5" a="1"/>
  <c r="D27" i="5" a="1"/>
  <c r="F402" i="5" a="1"/>
  <c r="I353" i="5" a="1"/>
  <c r="G330" i="5" a="1"/>
  <c r="I248" i="5" a="1"/>
  <c r="D241" i="5" a="1"/>
  <c r="D320" i="5" a="1"/>
  <c r="G180" i="5" a="1"/>
  <c r="G167" i="5" a="1"/>
  <c r="E335" i="5" a="1"/>
  <c r="I549" i="5" a="1"/>
  <c r="E530" i="5" a="1"/>
  <c r="I493" i="5" a="1"/>
  <c r="I519" i="5" a="1"/>
  <c r="H165" i="5" a="1"/>
  <c r="C390" i="5" a="1"/>
  <c r="E507" i="5" a="1"/>
  <c r="G237" i="5" a="1"/>
  <c r="D181" i="5" a="1"/>
  <c r="G375" i="5" a="1"/>
  <c r="D559" i="5" a="1"/>
  <c r="D462" i="5" a="1"/>
  <c r="I321" i="5" a="1"/>
  <c r="F393" i="5" a="1"/>
  <c r="H289" i="5" a="1"/>
  <c r="H156" i="5" a="1"/>
  <c r="G558" i="5" a="1"/>
  <c r="I479" i="5" a="1"/>
  <c r="H550" i="5" a="1"/>
  <c r="I238" i="5" a="1"/>
  <c r="C557" i="5" a="1"/>
  <c r="C491" i="5" a="1"/>
  <c r="F196" i="5" a="1"/>
  <c r="H507" i="5" a="1"/>
  <c r="H464" i="5" a="1"/>
  <c r="F375" i="5" a="1"/>
  <c r="I452" i="5" a="1"/>
  <c r="E243" i="5" a="1"/>
  <c r="D483" i="5" a="1"/>
  <c r="H469" i="5" a="1"/>
  <c r="F509" i="5" a="1"/>
  <c r="H426" i="5" a="1"/>
  <c r="I105" i="5" a="1"/>
  <c r="E303" i="5" a="1"/>
  <c r="D539" i="5" a="1"/>
  <c r="I540" i="5" a="1"/>
  <c r="G388" i="5" a="1"/>
  <c r="G401" i="5" a="1"/>
  <c r="G284" i="5" a="1"/>
  <c r="I537" i="5" a="1"/>
  <c r="H410" i="5" a="1"/>
  <c r="H434" i="5" a="1"/>
  <c r="G470" i="5" a="1"/>
  <c r="D112" i="5" a="1"/>
  <c r="G515" i="5" a="1"/>
  <c r="E136" i="5" a="1"/>
  <c r="C436" i="5" a="1"/>
  <c r="F553" i="5" a="1"/>
  <c r="G440" i="5" a="1"/>
  <c r="C410" i="5" a="1"/>
  <c r="F547" i="5" a="1"/>
  <c r="D407" i="5" a="1"/>
  <c r="F185" i="5" a="1"/>
  <c r="F54" i="5" a="1"/>
  <c r="I18" i="5" a="1"/>
  <c r="H44" i="5" a="1"/>
  <c r="G70" i="5" a="1"/>
  <c r="C178" i="5" a="1"/>
  <c r="C424" i="5" a="1"/>
  <c r="I86" i="5" a="1"/>
  <c r="E375" i="5" a="1"/>
  <c r="I428" i="5" a="1"/>
  <c r="I401" i="5" a="1"/>
  <c r="F171" i="5" a="1"/>
  <c r="D408" i="5" a="1"/>
  <c r="I131" i="5" a="1"/>
  <c r="C440" i="5" a="1"/>
  <c r="I62" i="5" a="1"/>
  <c r="C434" i="5" a="1"/>
  <c r="H197" i="5" a="1"/>
  <c r="I464" i="5" a="1"/>
  <c r="D311" i="5" a="1"/>
  <c r="G442" i="5" a="1"/>
  <c r="I360" i="5" a="1"/>
  <c r="H88" i="5" a="1"/>
  <c r="D398" i="5" a="1"/>
  <c r="F468" i="5" a="1"/>
  <c r="I395" i="5" a="1"/>
  <c r="D186" i="5" a="1"/>
  <c r="G338" i="5" a="1"/>
  <c r="G469" i="5" a="1"/>
  <c r="E397" i="5" a="1"/>
  <c r="C69" i="5" a="1"/>
  <c r="D395" i="5" a="1"/>
  <c r="C195" i="5" a="1"/>
  <c r="C76" i="5" a="1"/>
  <c r="G456" i="5" a="1"/>
  <c r="F495" i="5" a="1"/>
  <c r="D403" i="5" a="1"/>
  <c r="E254" i="5" a="1"/>
  <c r="C490" i="5" a="1"/>
  <c r="F438" i="5" a="1"/>
  <c r="D263" i="5" a="1"/>
  <c r="E545" i="5" a="1"/>
  <c r="E410" i="5" a="1"/>
  <c r="G193" i="5" a="1"/>
  <c r="F525" i="5" a="1"/>
  <c r="G472" i="5" a="1"/>
  <c r="D476" i="5" a="1"/>
  <c r="C121" i="5" a="1"/>
  <c r="C271" i="5" a="1"/>
  <c r="D203" i="5" a="1"/>
  <c r="C116" i="5" a="1"/>
  <c r="C460" i="5" a="1"/>
  <c r="I497" i="5" a="1"/>
  <c r="G404" i="5" a="1"/>
  <c r="C256" i="5" a="1"/>
  <c r="F492" i="5" a="1"/>
  <c r="H439" i="5" a="1"/>
  <c r="G265" i="5" a="1"/>
  <c r="H547" i="5" a="1"/>
  <c r="G413" i="5" a="1"/>
  <c r="C209" i="5" a="1"/>
  <c r="I527" i="5" a="1"/>
  <c r="H482" i="5" a="1"/>
  <c r="E148" i="5" a="1"/>
  <c r="E402" i="5" a="1"/>
  <c r="D297" i="5" a="1"/>
  <c r="C240" i="5" a="1"/>
  <c r="I119" i="5" a="1"/>
  <c r="C78" i="5" a="1"/>
  <c r="G436" i="5" a="1"/>
  <c r="F301" i="5" a="1"/>
  <c r="F64" i="5" a="1"/>
  <c r="E476" i="5" a="1"/>
  <c r="D337" i="5" a="1"/>
  <c r="C45" i="5" a="1"/>
  <c r="G445" i="5" a="1"/>
  <c r="H306" i="5" a="1"/>
  <c r="G31" i="5" a="1"/>
  <c r="H525" i="5" a="1"/>
  <c r="F385" i="5" a="1"/>
  <c r="H80" i="5" a="1"/>
  <c r="F130" i="5" a="1"/>
  <c r="G124" i="5" a="1"/>
  <c r="D39" i="5" a="1"/>
  <c r="D198" i="5" a="1"/>
  <c r="I437" i="5" a="1"/>
  <c r="G266" i="5" a="1"/>
  <c r="I120" i="5" a="1"/>
  <c r="H430" i="5" a="1"/>
  <c r="D327" i="5" a="1"/>
  <c r="C62" i="5" a="1"/>
  <c r="C482" i="5" a="1"/>
  <c r="E91" i="5" a="1"/>
  <c r="H553" i="5" a="1"/>
  <c r="H145" i="5" a="1"/>
  <c r="G240" i="5" a="1"/>
  <c r="E527" i="5" a="1"/>
  <c r="G491" i="5" a="1"/>
  <c r="D227" i="5" a="1"/>
  <c r="F531" i="5" a="1"/>
  <c r="G351" i="5" a="1"/>
  <c r="H258" i="5" a="1"/>
  <c r="H325" i="5" a="1"/>
  <c r="E537" i="5" a="1"/>
  <c r="I241" i="5" a="1"/>
  <c r="I434" i="5" a="1"/>
  <c r="G371" i="5" a="1"/>
  <c r="G132" i="5" a="1"/>
  <c r="I448" i="5" a="1"/>
  <c r="D267" i="5" a="1"/>
  <c r="H501" i="5" a="1"/>
  <c r="H83" i="5" a="1"/>
  <c r="D300" i="5" a="1"/>
  <c r="D529" i="5" a="1"/>
  <c r="G428" i="5" a="1"/>
  <c r="E487" i="5" a="1"/>
  <c r="C289" i="5" a="1"/>
  <c r="I163" i="5" a="1"/>
  <c r="D541" i="5" a="1"/>
  <c r="E241" i="5" a="1"/>
  <c r="C520" i="5" a="1"/>
  <c r="H509" i="5" a="1"/>
  <c r="I476" i="5" a="1"/>
  <c r="H457" i="5" a="1"/>
  <c r="I396" i="5" a="1"/>
  <c r="D508" i="5" a="1"/>
  <c r="F489" i="5" a="1"/>
  <c r="F534" i="5" a="1"/>
  <c r="C443" i="5" a="1"/>
  <c r="G217" i="5" a="1"/>
  <c r="F345" i="5" a="1"/>
  <c r="C555" i="5" a="1"/>
  <c r="E482" i="5" a="1"/>
  <c r="D32" i="5" a="1"/>
  <c r="C185" i="5" a="1"/>
  <c r="F407" i="5" a="1"/>
  <c r="I116" i="5" a="1"/>
  <c r="D522" i="5" a="1"/>
  <c r="C522" i="5" a="1"/>
  <c r="H516" i="5" a="1"/>
  <c r="C383" i="5" a="1"/>
  <c r="E486" i="5" a="1"/>
  <c r="C107" i="5" a="1"/>
  <c r="E186" i="5" a="1"/>
  <c r="I363" i="5" a="1"/>
  <c r="G389" i="5" a="1"/>
  <c r="E144" i="5" a="1"/>
  <c r="H512" i="5" a="1"/>
  <c r="H484" i="5" a="1"/>
  <c r="D195" i="5" a="1"/>
  <c r="F61" i="5" a="1"/>
  <c r="C488" i="5" a="1"/>
  <c r="E128" i="5" a="1"/>
  <c r="F395" i="5" a="1"/>
  <c r="E284" i="5" a="1"/>
  <c r="C396" i="5" a="1"/>
  <c r="I287" i="5" a="1"/>
  <c r="G508" i="5" a="1"/>
  <c r="H561" i="5" a="1"/>
  <c r="C532" i="5" a="1"/>
  <c r="D478" i="5" a="1"/>
  <c r="I292" i="5" a="1"/>
  <c r="E275" i="5" a="1"/>
  <c r="C441" i="5" a="1"/>
  <c r="G507" i="5" a="1"/>
  <c r="C536" i="5" a="1"/>
  <c r="E398" i="5" a="1"/>
  <c r="G415" i="5" a="1"/>
  <c r="C375" i="5" a="1"/>
  <c r="E355" i="5" a="1"/>
  <c r="I320" i="5" a="1"/>
  <c r="D393" i="5" a="1"/>
  <c r="I374" i="5" a="1"/>
  <c r="G271" i="5" a="1"/>
  <c r="C326" i="5" a="1"/>
  <c r="E536" i="5" a="1"/>
  <c r="H386" i="5" a="1"/>
  <c r="F352" i="5" a="1"/>
  <c r="I468" i="5" a="1"/>
  <c r="E305" i="5" a="1"/>
  <c r="G503" i="5" a="1"/>
  <c r="C275" i="5" a="1"/>
  <c r="G286" i="5" a="1"/>
  <c r="I533" i="5" a="1"/>
  <c r="C411" i="5" a="1"/>
  <c r="I239" i="5" a="1"/>
  <c r="H382" i="5" a="1"/>
  <c r="D551" i="5" a="1"/>
  <c r="F25" i="5" a="1"/>
  <c r="E314" i="5" a="1"/>
  <c r="D342" i="5" a="1"/>
  <c r="G419" i="5" a="1"/>
  <c r="E382" i="5" a="1"/>
  <c r="F466" i="5" a="1"/>
  <c r="D513" i="5" a="1"/>
  <c r="E547" i="5" a="1"/>
  <c r="C400" i="5" a="1"/>
  <c r="I440" i="5" a="1"/>
  <c r="G406" i="5" a="1"/>
  <c r="G357" i="5" a="1"/>
  <c r="D385" i="5" a="1"/>
  <c r="G426" i="5" a="1"/>
  <c r="C381" i="5" a="1"/>
  <c r="E279" i="5" a="1"/>
  <c r="C377" i="5" a="1"/>
  <c r="C538" i="5" a="1"/>
  <c r="G395" i="5" a="1"/>
  <c r="E393" i="5" a="1"/>
  <c r="I471" i="5" a="1"/>
  <c r="G391" i="5" a="1"/>
  <c r="C535" i="5" a="1"/>
  <c r="C416" i="5" a="1"/>
  <c r="H290" i="5" a="1"/>
  <c r="C539" i="5" a="1"/>
  <c r="I503" i="5" a="1"/>
  <c r="F350" i="5" a="1"/>
  <c r="G393" i="5" a="1"/>
  <c r="I534" i="5" a="1"/>
  <c r="I125" i="5" a="1"/>
  <c r="F417" i="5" a="1"/>
  <c r="G235" i="5" a="1"/>
  <c r="C423" i="5" a="1"/>
  <c r="F349" i="5" a="1"/>
  <c r="G295" i="5" a="1"/>
  <c r="G484" i="5" a="1"/>
  <c r="F33" i="5" a="1"/>
  <c r="F538" i="5" a="1"/>
  <c r="H555" i="5" a="1"/>
  <c r="C214" i="5" a="1"/>
  <c r="D469" i="5" a="1"/>
  <c r="G479" i="5" a="1"/>
  <c r="I225" i="5" a="1"/>
  <c r="C501" i="5" a="1"/>
  <c r="E177" i="5" a="1"/>
  <c r="G471" i="5" a="1"/>
  <c r="D317" i="5" a="1"/>
  <c r="E421" i="5" a="1"/>
  <c r="E56" i="5" a="1"/>
  <c r="G97" i="5" a="1"/>
  <c r="C226" i="5" a="1"/>
  <c r="H478" i="5" a="1"/>
  <c r="F523" i="5" a="1"/>
  <c r="E372" i="5" a="1"/>
  <c r="I455" i="5" a="1"/>
  <c r="E492" i="5" a="1"/>
  <c r="D310" i="5" a="1"/>
  <c r="G498" i="5" a="1"/>
  <c r="I443" i="5" a="1"/>
  <c r="G336" i="5" a="1"/>
  <c r="F439" i="5" a="1"/>
  <c r="H530" i="5" a="1"/>
  <c r="H556" i="5" a="1"/>
  <c r="D543" i="5" a="1"/>
  <c r="C228" i="5" a="1"/>
  <c r="D208" i="5" a="1"/>
  <c r="H140" i="5" a="1"/>
  <c r="I29" i="5" a="1"/>
  <c r="E165" i="5" a="1"/>
  <c r="G185" i="5" a="1"/>
  <c r="F213" i="5" a="1"/>
  <c r="F365" i="5" a="1"/>
  <c r="C311" i="5" a="1"/>
  <c r="D367" i="5" a="1"/>
  <c r="G222" i="5" a="1"/>
  <c r="E110" i="5" a="1"/>
  <c r="I222" i="5" a="1"/>
  <c r="F214" i="5" a="1"/>
  <c r="D278" i="5" a="1"/>
  <c r="G203" i="5" a="1"/>
  <c r="D270" i="5" a="1"/>
  <c r="G281" i="5" a="1"/>
  <c r="H310" i="5" a="1"/>
  <c r="F256" i="5" a="1"/>
  <c r="H316" i="5" a="1"/>
  <c r="G183" i="5" a="1"/>
  <c r="C273" i="5" a="1"/>
  <c r="F559" i="5" a="1"/>
  <c r="C494" i="5" a="1"/>
  <c r="F309" i="5" a="1"/>
  <c r="I311" i="5" a="1"/>
  <c r="G98" i="5" a="1"/>
  <c r="C531" i="5" a="1"/>
  <c r="H174" i="5" a="1"/>
  <c r="C297" i="5" a="1"/>
  <c r="G85" i="5" a="1"/>
  <c r="E479" i="5" a="1"/>
  <c r="H159" i="5" a="1"/>
  <c r="H267" i="5" a="1"/>
  <c r="C215" i="5" a="1"/>
  <c r="D514" i="5" a="1"/>
  <c r="I57" i="5" a="1"/>
  <c r="C426" i="5" a="1"/>
  <c r="C286" i="5" a="1"/>
  <c r="F512" i="5" a="1"/>
  <c r="D455" i="5" a="1"/>
  <c r="H329" i="5" a="1"/>
  <c r="F24" i="5" a="1"/>
  <c r="I439" i="5" a="1"/>
  <c r="F261" i="5" a="1"/>
  <c r="I547" i="5" a="1"/>
  <c r="I515" i="5" a="1"/>
  <c r="C294" i="5" a="1"/>
  <c r="C55" i="5" a="1"/>
  <c r="G379" i="5" a="1"/>
  <c r="C276" i="5" a="1"/>
  <c r="E225" i="5" a="1"/>
  <c r="G39" i="5" a="1"/>
  <c r="D66" i="5" a="1"/>
  <c r="C430" i="5" a="1"/>
  <c r="I295" i="5" a="1"/>
  <c r="I514" i="5" a="1"/>
  <c r="I463" i="5" a="1"/>
  <c r="E331" i="5" a="1"/>
  <c r="E27" i="5" a="1"/>
  <c r="D441" i="5" a="1"/>
  <c r="G276" i="5" a="1"/>
  <c r="E551" i="5" a="1"/>
  <c r="F521" i="5" a="1"/>
  <c r="C312" i="5" a="1"/>
  <c r="D160" i="5" a="1"/>
  <c r="C376" i="5" a="1"/>
  <c r="C108" i="5" a="1"/>
  <c r="D268" i="5" a="1"/>
  <c r="D122" i="5" a="1"/>
  <c r="D460" i="5" a="1"/>
  <c r="F333" i="5" a="1"/>
  <c r="G163" i="5" a="1"/>
  <c r="I508" i="5" a="1"/>
  <c r="D386" i="5" a="1"/>
  <c r="F167" i="5" a="1"/>
  <c r="F476" i="5" a="1"/>
  <c r="D355" i="5" a="1"/>
  <c r="G136" i="5" a="1"/>
  <c r="G542" i="5" a="1"/>
  <c r="F22" i="5" a="1"/>
  <c r="D41" i="5" a="1"/>
  <c r="E250" i="5" a="1"/>
  <c r="F20" i="5" a="1"/>
  <c r="F218" i="5" a="1"/>
  <c r="G337" i="5" a="1"/>
  <c r="E461" i="5" a="1"/>
  <c r="G344" i="5" a="1"/>
  <c r="H192" i="5" a="1"/>
  <c r="I454" i="5" a="1"/>
  <c r="G387" i="5" a="1"/>
  <c r="F145" i="5" a="1"/>
  <c r="G133" i="5" a="1"/>
  <c r="G418" i="5" a="1"/>
  <c r="I308" i="5" a="1"/>
  <c r="H204" i="5" a="1"/>
  <c r="F293" i="5" a="1"/>
  <c r="C152" i="5" a="1"/>
  <c r="F93" i="5" a="1"/>
  <c r="E271" i="5" a="1"/>
  <c r="E534" i="5" a="1"/>
  <c r="D540" i="5" a="1"/>
  <c r="H313" i="5" a="1"/>
  <c r="D466" i="5" a="1"/>
  <c r="D463" i="5" a="1"/>
  <c r="G453" i="5" a="1"/>
  <c r="G485" i="5" a="1"/>
  <c r="E86" i="5" a="1"/>
  <c r="E307" i="5" a="1"/>
  <c r="G270" i="5" a="1"/>
  <c r="E414" i="5" a="1"/>
  <c r="H239" i="5" a="1"/>
  <c r="G537" i="5" a="1"/>
  <c r="I495" i="5" a="1"/>
  <c r="C515" i="5" a="1"/>
  <c r="E473" i="5" a="1"/>
  <c r="G319" i="5" a="1"/>
  <c r="F455" i="5" a="1"/>
  <c r="E343" i="5" a="1"/>
  <c r="I535" i="5" a="1"/>
  <c r="C68" i="5" a="1"/>
  <c r="E541" i="5" a="1"/>
  <c r="G204" i="5" a="1"/>
  <c r="C29" i="5" a="1"/>
  <c r="F474" i="5" a="1"/>
  <c r="E190" i="5" a="1"/>
  <c r="D284" i="5" a="1"/>
  <c r="E509" i="5" a="1"/>
  <c r="F351" i="5" a="1"/>
  <c r="I520" i="5" a="1"/>
  <c r="I334" i="5" a="1"/>
  <c r="H448" i="5" a="1"/>
  <c r="D206" i="5" a="1"/>
  <c r="C438" i="5" a="1"/>
  <c r="H455" i="5" a="1"/>
  <c r="G530" i="5" a="1"/>
  <c r="D555" i="5" a="1"/>
  <c r="G513" i="5" a="1"/>
  <c r="F212" i="5" a="1"/>
  <c r="I354" i="5" a="1"/>
  <c r="F326" i="5" a="1"/>
  <c r="G223" i="5" a="1"/>
  <c r="D56" i="5" a="1"/>
  <c r="H301" i="5" a="1"/>
  <c r="H250" i="5" a="1"/>
  <c r="C551" i="5" a="1"/>
  <c r="C526" i="5" a="1"/>
  <c r="C248" i="5" a="1"/>
  <c r="H542" i="5" a="1"/>
  <c r="I402" i="5" a="1"/>
  <c r="E283" i="5" a="1"/>
  <c r="F355" i="5" a="1"/>
  <c r="H18" i="5" a="1"/>
  <c r="D264" i="5" a="1"/>
  <c r="E445" i="5" a="1"/>
  <c r="F418" i="5" a="1"/>
  <c r="C255" i="5" a="1"/>
  <c r="C507" i="5" a="1"/>
  <c r="E347" i="5" a="1"/>
  <c r="E181" i="5" a="1"/>
  <c r="I127" i="5" a="1"/>
  <c r="E298" i="5" a="1"/>
  <c r="C556" i="5" a="1"/>
  <c r="E211" i="5" a="1"/>
  <c r="F276" i="5" a="1"/>
  <c r="H209" i="5" a="1"/>
  <c r="F387" i="5" a="1"/>
  <c r="D442" i="5" a="1"/>
  <c r="I552" i="5" a="1"/>
  <c r="C153" i="5" a="1"/>
  <c r="G376" i="5" a="1"/>
  <c r="C516" i="5" a="1"/>
  <c r="C246" i="5" a="1"/>
  <c r="G411" i="5" a="1"/>
  <c r="I409" i="5" a="1"/>
  <c r="C505" i="5" a="1"/>
  <c r="E443" i="5" a="1"/>
  <c r="D505" i="5" a="1"/>
  <c r="G465" i="5" a="1"/>
  <c r="D535" i="5" a="1"/>
  <c r="E388" i="5" a="1"/>
  <c r="C200" i="5" a="1"/>
  <c r="D477" i="5" a="1"/>
  <c r="C425" i="5" a="1"/>
  <c r="D490" i="5" a="1"/>
  <c r="E234" i="5" a="1"/>
  <c r="D445" i="5" a="1"/>
  <c r="F518" i="5" a="1"/>
  <c r="C415" i="5" a="1"/>
  <c r="C283" i="5" a="1"/>
  <c r="E222" i="5" a="1"/>
  <c r="H528" i="5" a="1"/>
  <c r="E47" i="5" a="1"/>
  <c r="I288" i="5" a="1"/>
  <c r="G333" i="5" a="1"/>
  <c r="D232" i="5" a="1"/>
  <c r="E408" i="5" a="1"/>
  <c r="I445" i="5" a="1"/>
  <c r="F558" i="5" a="1"/>
  <c r="C193" i="5" a="1"/>
  <c r="C385" i="5" a="1"/>
  <c r="F517" i="5" a="1"/>
  <c r="H279" i="5" a="1"/>
  <c r="D413" i="5" a="1"/>
  <c r="I420" i="5" a="1"/>
  <c r="E516" i="5" a="1"/>
  <c r="C457" i="5" a="1"/>
  <c r="E515" i="5" a="1"/>
  <c r="F470" i="5" a="1"/>
  <c r="H537" i="5" a="1"/>
  <c r="I406" i="5" a="1"/>
  <c r="F223" i="5" a="1"/>
  <c r="E505" i="5" a="1"/>
  <c r="D431" i="5" a="1"/>
  <c r="E502" i="5" a="1"/>
  <c r="F242" i="5" a="1"/>
  <c r="C464" i="5" a="1"/>
  <c r="D521" i="5" a="1"/>
  <c r="D426" i="5" a="1"/>
  <c r="E504" i="5" a="1"/>
  <c r="H340" i="5" a="1"/>
  <c r="C417" i="5" a="1"/>
  <c r="F550" i="5" a="1"/>
  <c r="E150" i="5" a="1"/>
  <c r="F424" i="5" a="1"/>
  <c r="F461" i="5" a="1"/>
  <c r="G155" i="5" a="1"/>
  <c r="D281" i="5" a="1"/>
  <c r="C360" i="5" a="1"/>
  <c r="E106" i="5" a="1"/>
  <c r="D491" i="5" a="1"/>
  <c r="F342" i="5" a="1"/>
  <c r="E166" i="5" a="1"/>
  <c r="F548" i="5" a="1"/>
  <c r="E428" i="5" a="1"/>
  <c r="H193" i="5" a="1"/>
  <c r="D377" i="5" a="1"/>
  <c r="G554" i="5" a="1"/>
  <c r="C315" i="5" a="1"/>
  <c r="C448" i="5" a="1"/>
  <c r="D433" i="5" a="1"/>
  <c r="C260" i="5" a="1"/>
  <c r="I272" i="5" a="1"/>
  <c r="E556" i="5" a="1"/>
  <c r="C474" i="5" a="1"/>
  <c r="I324" i="5" a="1"/>
  <c r="H436" i="5" a="1"/>
  <c r="C422" i="5" a="1"/>
  <c r="F542" i="5" a="1"/>
  <c r="D546" i="5" a="1"/>
  <c r="C553" i="5" a="1"/>
  <c r="I161" i="5" a="1"/>
  <c r="D210" i="5" a="1"/>
  <c r="C421" i="5" a="1"/>
  <c r="E376" i="5" a="1"/>
  <c r="I193" i="5" a="1"/>
  <c r="C79" i="5" a="1"/>
  <c r="G207" i="5" a="1"/>
  <c r="F233" i="5" a="1"/>
  <c r="G36" i="5" a="1"/>
  <c r="C414" i="5" a="1"/>
  <c r="H393" i="5" a="1"/>
  <c r="D423" i="5" a="1"/>
  <c r="F258" i="5" a="1"/>
  <c r="C167" i="5" a="1"/>
  <c r="E257" i="5" a="1"/>
  <c r="D279" i="5" a="1"/>
  <c r="F306" i="5" a="1"/>
  <c r="C253" i="5" a="1"/>
  <c r="C304" i="5" a="1"/>
  <c r="F347" i="5" a="1"/>
  <c r="H334" i="5" a="1"/>
  <c r="C290" i="5" a="1"/>
  <c r="I347" i="5" a="1"/>
  <c r="G304" i="5" a="1"/>
  <c r="F308" i="5" a="1"/>
  <c r="C95" i="5" a="1"/>
  <c r="I529" i="5" a="1"/>
  <c r="E172" i="5" a="1"/>
  <c r="E348" i="5" a="1"/>
  <c r="H214" i="5" a="1"/>
  <c r="G549" i="5" a="1"/>
  <c r="H73" i="5" a="1"/>
  <c r="E367" i="5" a="1"/>
  <c r="H163" i="5" a="1"/>
  <c r="H497" i="5" a="1"/>
  <c r="H126" i="5" a="1"/>
  <c r="D335" i="5" a="1"/>
  <c r="D20" i="5" a="1"/>
  <c r="I230" i="5" a="1"/>
  <c r="D110" i="5" a="1"/>
  <c r="I450" i="5" a="1"/>
  <c r="G315" i="5" a="1"/>
  <c r="E147" i="5" a="1"/>
  <c r="C496" i="5" a="1"/>
  <c r="F377" i="5" a="1"/>
  <c r="F147" i="5" a="1"/>
  <c r="G459" i="5" a="1"/>
  <c r="H333" i="5" a="1"/>
  <c r="F37" i="5" a="1"/>
  <c r="I536" i="5" a="1"/>
  <c r="H524" i="5" a="1"/>
  <c r="G248" i="5" a="1"/>
  <c r="I110" i="5" a="1"/>
  <c r="G353" i="5" a="1"/>
  <c r="I25" i="5" a="1"/>
  <c r="C244" i="5" a="1"/>
  <c r="I113" i="5" a="1"/>
  <c r="E454" i="5" a="1"/>
  <c r="G317" i="5" a="1"/>
  <c r="F157" i="5" a="1"/>
  <c r="E500" i="5" a="1"/>
  <c r="F379" i="5" a="1"/>
  <c r="H157" i="5" a="1"/>
  <c r="H473" i="5" a="1"/>
  <c r="I335" i="5" a="1"/>
  <c r="D106" i="5" a="1"/>
  <c r="I539" i="5" a="1"/>
  <c r="D259" i="5" a="1"/>
  <c r="I300" i="5" a="1"/>
  <c r="F44" i="5" a="1"/>
  <c r="E248" i="5" a="1"/>
  <c r="D364" i="5" a="1"/>
  <c r="E157" i="5" a="1"/>
  <c r="G482" i="5" a="1"/>
  <c r="D371" i="5" a="1"/>
  <c r="G247" i="5" a="1"/>
  <c r="E532" i="5" a="1"/>
  <c r="H427" i="5" a="1"/>
  <c r="H247" i="5" a="1"/>
  <c r="G514" i="5" a="1"/>
  <c r="E399" i="5" a="1"/>
  <c r="E221" i="5" a="1"/>
  <c r="E276" i="5" a="1"/>
  <c r="C347" i="5" a="1"/>
  <c r="F111" i="5" a="1"/>
  <c r="D140" i="5" a="1"/>
  <c r="E167" i="5" a="1"/>
  <c r="H307" i="5" a="1"/>
  <c r="G412" i="5" a="1"/>
  <c r="H483" i="5" a="1"/>
  <c r="I385" i="5" a="1"/>
  <c r="C241" i="5" a="1"/>
  <c r="E478" i="5" a="1"/>
  <c r="I422" i="5" a="1"/>
  <c r="H206" i="5" a="1"/>
  <c r="C23" i="5" a="1"/>
  <c r="D321" i="5" a="1"/>
  <c r="F469" i="5" a="1"/>
  <c r="C503" i="5" a="1"/>
  <c r="F372" i="5" a="1"/>
  <c r="E385" i="5" a="1"/>
  <c r="E338" i="5" a="1"/>
  <c r="H344" i="5" a="1"/>
  <c r="F245" i="5" a="1"/>
  <c r="F269" i="5" a="1"/>
  <c r="I359" i="5" a="1"/>
  <c r="D77" i="5" a="1"/>
  <c r="I219" i="5" a="1"/>
  <c r="E522" i="5" a="1"/>
  <c r="E361" i="5" a="1"/>
  <c r="C197" i="5" a="1"/>
  <c r="C431" i="5" a="1"/>
  <c r="I123" i="5" a="1"/>
  <c r="D315" i="5" a="1"/>
  <c r="C354" i="5" a="1"/>
  <c r="F246" i="5" a="1"/>
  <c r="D384" i="5" a="1"/>
  <c r="E115" i="5" a="1"/>
  <c r="G425" i="5" a="1"/>
  <c r="D63" i="5" a="1"/>
  <c r="H337" i="5" a="1"/>
  <c r="C475" i="5" a="1"/>
  <c r="H514" i="5" a="1"/>
  <c r="I173" i="5" a="1"/>
  <c r="F353" i="5" a="1"/>
  <c r="E387" i="5" a="1"/>
  <c r="I140" i="5" a="1"/>
  <c r="C511" i="5" a="1"/>
  <c r="E456" i="5" a="1"/>
  <c r="D192" i="5" a="1"/>
  <c r="H53" i="5" a="1"/>
  <c r="H474" i="5" a="1"/>
  <c r="H59" i="5" a="1"/>
  <c r="C392" i="5" a="1"/>
  <c r="H217" i="5" a="1"/>
  <c r="G365" i="5" a="1"/>
  <c r="F270" i="5" a="1"/>
  <c r="D382" i="5" a="1"/>
  <c r="G516" i="5" a="1"/>
  <c r="H277" i="5" a="1"/>
  <c r="E44" i="5" a="1"/>
  <c r="I505" i="5" a="1"/>
  <c r="F310" i="5" a="1"/>
  <c r="I184" i="5" a="1"/>
  <c r="F472" i="5" a="1"/>
  <c r="I364" i="5" a="1"/>
  <c r="C284" i="5" a="1"/>
  <c r="E311" i="5" a="1"/>
  <c r="F204" i="5" a="1"/>
  <c r="F163" i="5" a="1"/>
  <c r="D283" i="5" a="1"/>
  <c r="I155" i="5" a="1"/>
  <c r="I130" i="5" a="1"/>
  <c r="D328" i="5" a="1"/>
  <c r="F479" i="5" a="1"/>
  <c r="H499" i="5" a="1"/>
  <c r="D475" i="5" a="1"/>
  <c r="C502" i="5" a="1"/>
  <c r="H115" i="5" a="1"/>
  <c r="I375" i="5" a="1"/>
  <c r="I460" i="5" a="1"/>
  <c r="D136" i="5" a="1"/>
  <c r="G493" i="5" a="1"/>
  <c r="C445" i="5" a="1"/>
  <c r="D103" i="5" a="1"/>
  <c r="H419" i="5" a="1"/>
  <c r="H118" i="5" a="1"/>
  <c r="H527" i="5" a="1"/>
  <c r="H452" i="5" a="1"/>
  <c r="D115" i="5" a="1"/>
  <c r="G492" i="5" a="1"/>
  <c r="C393" i="5" a="1"/>
  <c r="F286" i="5" a="1"/>
  <c r="F433" i="5" a="1"/>
  <c r="E192" i="5" a="1"/>
  <c r="E463" i="5" a="1"/>
  <c r="G447" i="5" a="1"/>
  <c r="I469" i="5" a="1"/>
  <c r="D362" i="5" a="1"/>
  <c r="F522" i="5" a="1"/>
  <c r="F268" i="5" a="1"/>
  <c r="H529" i="5" a="1"/>
  <c r="E521" i="5" a="1"/>
  <c r="E334" i="5" a="1"/>
  <c r="G352" i="5" a="1"/>
  <c r="C442" i="5" a="1"/>
  <c r="D495" i="5" a="1"/>
  <c r="F343" i="5" a="1"/>
  <c r="F390" i="5" a="1"/>
  <c r="D330" i="5" a="1"/>
  <c r="C118" i="5" a="1"/>
  <c r="G219" i="5" a="1"/>
  <c r="D534" i="5" a="1"/>
  <c r="G99" i="5" a="1"/>
  <c r="D501" i="5" a="1"/>
  <c r="I377" i="5" a="1"/>
  <c r="D235" i="5" a="1"/>
  <c r="G533" i="5" a="1"/>
  <c r="D459" i="5" a="1"/>
  <c r="G142" i="5" a="1"/>
  <c r="H502" i="5" a="1"/>
  <c r="E417" i="5" a="1"/>
  <c r="I301" i="5" a="1"/>
  <c r="D435" i="5" a="1"/>
  <c r="E201" i="5" a="1"/>
  <c r="D473" i="5" a="1"/>
  <c r="D449" i="5" a="1"/>
  <c r="D481" i="5" a="1"/>
  <c r="H389" i="5" a="1"/>
  <c r="F48" i="5" a="1"/>
  <c r="D295" i="5" a="1"/>
  <c r="D532" i="5" a="1"/>
  <c r="F540" i="5" a="1"/>
  <c r="I358" i="5" a="1"/>
  <c r="H356" i="5" a="1"/>
  <c r="H493" i="5" a="1"/>
  <c r="H532" i="5" a="1"/>
  <c r="C363" i="5" a="1"/>
  <c r="F405" i="5" a="1"/>
  <c r="F403" i="5" a="1"/>
  <c r="C252" i="5" a="1"/>
  <c r="H300" i="5" a="1"/>
  <c r="D238" i="5" a="1"/>
  <c r="H189" i="5" a="1"/>
  <c r="C296" i="5" a="1"/>
  <c r="I465" i="5" a="1"/>
  <c r="D480" i="5" a="1"/>
  <c r="H540" i="5" a="1"/>
  <c r="F481" i="5" a="1"/>
  <c r="F229" i="5" a="1"/>
  <c r="H489" i="5" a="1"/>
  <c r="G461" i="5" a="1"/>
  <c r="E197" i="5" a="1"/>
  <c r="I525" i="5" a="1"/>
  <c r="F279" i="5" a="1"/>
  <c r="C238" i="5" a="1"/>
  <c r="H186" i="5" a="1"/>
  <c r="F527" i="5" a="1"/>
  <c r="G196" i="5" a="1"/>
  <c r="I423" i="5" a="1"/>
  <c r="D331" i="5" a="1"/>
  <c r="G78" i="5" a="1"/>
  <c r="F412" i="5" a="1"/>
  <c r="I217" i="5" a="1"/>
  <c r="H441" i="5" a="1"/>
  <c r="H481" i="5" a="1"/>
  <c r="D265" i="5" a="1"/>
  <c r="C497" i="5" a="1"/>
  <c r="E357" i="5" a="1"/>
  <c r="G439" i="5" a="1"/>
  <c r="I451" i="5" a="1"/>
  <c r="I488" i="5" a="1"/>
  <c r="E519" i="5" a="1"/>
  <c r="D492" i="5" a="1"/>
  <c r="H446" i="5" a="1"/>
  <c r="F216" i="5" a="1"/>
  <c r="G210" i="5" a="1"/>
  <c r="F173" i="5" a="1"/>
  <c r="D346" i="5" a="1"/>
  <c r="C372" i="5" a="1"/>
  <c r="C42" i="5" a="1"/>
  <c r="I60" i="5" a="1"/>
  <c r="C164" i="5" a="1"/>
  <c r="E53" i="5" a="1"/>
  <c r="H35" i="5" a="1"/>
  <c r="G209" i="5" a="1"/>
  <c r="G153" i="5" a="1"/>
  <c r="G34" i="5" a="1"/>
  <c r="D113" i="5" a="1"/>
  <c r="G243" i="5" a="1"/>
  <c r="D104" i="5" a="1"/>
  <c r="H169" i="5" a="1"/>
  <c r="H172" i="5" a="1"/>
  <c r="E317" i="5" a="1"/>
  <c r="D94" i="5" a="1"/>
  <c r="H490" i="5" a="1"/>
  <c r="D504" i="5" a="1"/>
  <c r="E429" i="5" a="1"/>
  <c r="D36" i="5" a="1"/>
  <c r="C210" i="5" a="1"/>
  <c r="C88" i="5" a="1"/>
  <c r="G452" i="5" a="1"/>
  <c r="F458" i="5" a="1"/>
  <c r="G123" i="5" a="1"/>
  <c r="H175" i="5" a="1"/>
  <c r="C489" i="5" a="1"/>
  <c r="F376" i="5" a="1"/>
  <c r="I51" i="5" a="1"/>
  <c r="E412" i="5" a="1"/>
  <c r="G218" i="5" a="1"/>
  <c r="E329" i="5" a="1"/>
  <c r="H143" i="5" a="1"/>
  <c r="E474" i="5" a="1"/>
  <c r="E363" i="5" a="1"/>
  <c r="F226" i="5" a="1"/>
  <c r="C524" i="5" a="1"/>
  <c r="G405" i="5" a="1"/>
  <c r="D219" i="5" a="1"/>
  <c r="F500" i="5" a="1"/>
  <c r="E381" i="5" a="1"/>
  <c r="D197" i="5" a="1"/>
  <c r="G556" i="5" a="1"/>
  <c r="I271" i="5" a="1"/>
  <c r="D209" i="5" a="1"/>
  <c r="E268" i="5" a="1"/>
  <c r="G420" i="5" a="1"/>
  <c r="F235" i="5" a="1"/>
  <c r="D334" i="5" a="1"/>
  <c r="D146" i="5" a="1"/>
  <c r="H476" i="5" a="1"/>
  <c r="G366" i="5" a="1"/>
  <c r="E231" i="5" a="1"/>
  <c r="F526" i="5" a="1"/>
  <c r="F413" i="5" a="1"/>
  <c r="G226" i="5" a="1"/>
  <c r="H504" i="5" a="1"/>
  <c r="I392" i="5" a="1"/>
  <c r="E203" i="5" a="1"/>
  <c r="E559" i="5" a="1"/>
  <c r="H220" i="5" a="1"/>
  <c r="I411" i="5" a="1"/>
  <c r="C213" i="5" a="1"/>
  <c r="C306" i="5" a="1"/>
  <c r="G408" i="5" a="1"/>
  <c r="H212" i="5" a="1"/>
  <c r="C506" i="5" a="1"/>
  <c r="C397" i="5" a="1"/>
  <c r="G289" i="5" a="1"/>
  <c r="H554" i="5" a="1"/>
  <c r="I456" i="5" a="1"/>
  <c r="I291" i="5" a="1"/>
  <c r="E538" i="5" a="1"/>
  <c r="I427" i="5" a="1"/>
  <c r="H305" i="5" a="1"/>
  <c r="D506" i="5" a="1"/>
  <c r="F498" i="5" a="1"/>
  <c r="C35" i="5" a="1"/>
  <c r="G303" i="5" a="1"/>
  <c r="D220" i="5" a="1"/>
  <c r="H179" i="5" a="1"/>
  <c r="F482" i="5" a="1"/>
  <c r="D507" i="5" a="1"/>
  <c r="F419" i="5" a="1"/>
  <c r="D271" i="5" a="1"/>
  <c r="H500" i="5" a="1"/>
  <c r="F445" i="5" a="1"/>
  <c r="I293" i="5" a="1"/>
  <c r="C93" i="5" a="1"/>
  <c r="H41" i="5" a="1"/>
  <c r="D35" i="5" a="1"/>
  <c r="D360" i="5" a="1"/>
  <c r="H418" i="5" a="1"/>
  <c r="E511" i="5" a="1"/>
  <c r="F537" i="5" a="1"/>
  <c r="D368" i="5" a="1"/>
  <c r="C476" i="5" a="1"/>
  <c r="I531" i="5" a="1"/>
  <c r="G402" i="5" a="1"/>
  <c r="D387" i="5" a="1"/>
  <c r="D468" i="5" a="1"/>
  <c r="G310" i="5" a="1"/>
  <c r="H485" i="5" a="1"/>
  <c r="G443" i="5" a="1"/>
  <c r="H515" i="5" a="1"/>
  <c r="D244" i="5" a="1"/>
  <c r="I417" i="5" a="1"/>
  <c r="I530" i="5" a="1"/>
  <c r="D390" i="5" a="1"/>
  <c r="I338" i="5" a="1"/>
  <c r="C191" i="5" a="1"/>
  <c r="C334" i="5" a="1"/>
  <c r="H462" i="5" a="1"/>
  <c r="G188" i="5" a="1"/>
  <c r="H45" i="5" a="1"/>
  <c r="D222" i="5" a="1"/>
  <c r="I242" i="5" a="1"/>
  <c r="I542" i="5" a="1"/>
  <c r="C508" i="5" a="1"/>
  <c r="G229" i="5" a="1"/>
  <c r="H535" i="5" a="1"/>
  <c r="E391" i="5" a="1"/>
  <c r="H273" i="5" a="1"/>
  <c r="I344" i="5" a="1"/>
  <c r="I545" i="5" a="1"/>
  <c r="D260" i="5" a="1"/>
  <c r="D443" i="5" a="1"/>
  <c r="I383" i="5" a="1"/>
  <c r="F250" i="5" a="1"/>
  <c r="H495" i="5" a="1"/>
  <c r="F319" i="5" a="1"/>
  <c r="D305" i="5" a="1"/>
  <c r="H408" i="5" a="1"/>
  <c r="E223" i="5" a="1"/>
  <c r="F348" i="5" a="1"/>
  <c r="I257" i="5" a="1"/>
  <c r="F35" i="5" a="1"/>
  <c r="I416" i="5" a="1"/>
  <c r="D489" i="5" a="1"/>
  <c r="D533" i="5" a="1"/>
  <c r="G394" i="5" a="1"/>
  <c r="H411" i="5" a="1"/>
  <c r="C369" i="5" a="1"/>
  <c r="I348" i="5" a="1"/>
  <c r="C279" i="5" a="1"/>
  <c r="C373" i="5" a="1"/>
  <c r="I368" i="5" a="1"/>
  <c r="H263" i="5" a="1"/>
  <c r="F281" i="5" a="1"/>
  <c r="E529" i="5" a="1"/>
  <c r="I380" i="5" a="1"/>
  <c r="H349" i="5" a="1"/>
  <c r="F453" i="5" a="1"/>
  <c r="H202" i="5" a="1"/>
  <c r="H468" i="5" a="1"/>
  <c r="C120" i="5" a="1"/>
  <c r="D542" i="5" a="1"/>
  <c r="H422" i="5" a="1"/>
  <c r="E550" i="5" a="1"/>
  <c r="E468" i="5" a="1"/>
  <c r="F231" i="5" a="1"/>
  <c r="H29" i="5" a="1"/>
  <c r="F277" i="5" a="1"/>
  <c r="G528" i="5" a="1"/>
  <c r="D523" i="5" a="1"/>
  <c r="H81" i="5" a="1"/>
  <c r="C461" i="5" a="1"/>
  <c r="E437" i="5" a="1"/>
  <c r="G544" i="5" a="1"/>
  <c r="H492" i="5" a="1"/>
  <c r="D554" i="5" a="1"/>
  <c r="E453" i="5" a="1"/>
  <c r="C268" i="5" a="1"/>
  <c r="F371" i="5" a="1"/>
  <c r="G19" i="5" a="1"/>
  <c r="F535" i="5" a="1"/>
  <c r="E109" i="5" a="1"/>
  <c r="G434" i="5" a="1"/>
  <c r="F297" i="5" a="1"/>
  <c r="C546" i="5" a="1"/>
  <c r="G557" i="5" a="1"/>
  <c r="E282" i="5" a="1"/>
  <c r="G208" i="5" a="1"/>
  <c r="F363" i="5" a="1"/>
  <c r="E531" i="5" a="1"/>
  <c r="G474" i="5" a="1"/>
  <c r="C328" i="5" a="1"/>
  <c r="D43" i="5" a="1"/>
  <c r="H146" i="5" a="1"/>
  <c r="H50" i="5" a="1"/>
  <c r="F252" i="5" a="1"/>
  <c r="E342" i="5" a="1"/>
  <c r="C307" i="5" a="1"/>
  <c r="I532" i="5" a="1"/>
  <c r="D547" i="5" a="1"/>
  <c r="I93" i="5" a="1"/>
  <c r="F464" i="5" a="1"/>
  <c r="H447" i="5" a="1"/>
  <c r="C560" i="5" a="1"/>
  <c r="F494" i="5" a="1"/>
  <c r="C130" i="5" a="1"/>
  <c r="H461" i="5" a="1"/>
  <c r="H280" i="5" a="1"/>
  <c r="I412" i="5" a="1"/>
  <c r="I35" i="5" a="1"/>
  <c r="C549" i="5" a="1"/>
  <c r="H135" i="5" a="1"/>
  <c r="C447" i="5" a="1"/>
  <c r="G326" i="5" a="1"/>
  <c r="D556" i="5" a="1"/>
  <c r="H403" i="5" a="1"/>
  <c r="G316" i="5" a="1"/>
  <c r="H222" i="5" a="1"/>
  <c r="H264" i="5" a="1"/>
  <c r="D406" i="5" a="1"/>
  <c r="H69" i="5" a="1"/>
  <c r="H359" i="5" a="1"/>
  <c r="F428" i="5" a="1"/>
  <c r="F473" i="5" a="1"/>
  <c r="G369" i="5" a="1"/>
  <c r="C229" i="5" a="1"/>
  <c r="G534" i="5" a="1"/>
  <c r="H285" i="5" a="1"/>
  <c r="D96" i="5" a="1"/>
  <c r="F58" i="5" a="1"/>
  <c r="C263" i="5" a="1"/>
  <c r="H559" i="5" a="1"/>
  <c r="F471" i="5" a="1"/>
  <c r="H303" i="5" a="1"/>
  <c r="H435" i="5" a="1"/>
  <c r="F437" i="5" a="1"/>
  <c r="C429" i="5" a="1"/>
  <c r="C472" i="5" a="1"/>
  <c r="I40" i="5" a="1"/>
  <c r="G290" i="5" a="1"/>
  <c r="I112" i="5" a="1"/>
  <c r="D67" i="5" a="1"/>
  <c r="C165" i="5" a="1"/>
  <c r="G500" i="5" a="1"/>
  <c r="E409" i="5" a="1"/>
  <c r="F443" i="5" a="1"/>
  <c r="F369" i="5" a="1"/>
  <c r="F199" i="5" a="1"/>
  <c r="F70" i="5" a="1"/>
  <c r="H345" i="5" a="1"/>
  <c r="E403" i="5" a="1"/>
  <c r="G380" i="5" a="1"/>
  <c r="I481" i="5" a="1"/>
  <c r="H155" i="5" a="1"/>
  <c r="C552" i="5" a="1"/>
  <c r="G141" i="5" a="1"/>
  <c r="C287" i="5" a="1"/>
  <c r="E112" i="5" a="1"/>
  <c r="E253" i="5" a="1"/>
  <c r="C99" i="5" a="1"/>
  <c r="G151" i="5" a="1"/>
  <c r="F178" i="5" a="1"/>
  <c r="E323" i="5" a="1"/>
  <c r="I352" i="5" a="1"/>
  <c r="D336" i="5" a="1"/>
  <c r="F188" i="5" a="1"/>
  <c r="C274" i="5" a="1"/>
  <c r="D33" i="5" a="1"/>
  <c r="H42" i="5" a="1"/>
  <c r="E217" i="5" a="1"/>
  <c r="G312" i="5" a="1"/>
  <c r="I156" i="5" a="1"/>
  <c r="G174" i="5" a="1"/>
  <c r="H243" i="5" a="1"/>
  <c r="F42" i="5" a="1"/>
  <c r="H338" i="5" a="1"/>
  <c r="G509" i="5" a="1"/>
  <c r="H449" i="5" a="1"/>
  <c r="D243" i="5" a="1"/>
  <c r="D428" i="5" a="1"/>
  <c r="F101" i="5" a="1"/>
  <c r="F490" i="5" a="1"/>
  <c r="F323" i="5" a="1"/>
  <c r="G150" i="5" a="1"/>
  <c r="G249" i="5" a="1"/>
  <c r="H440" i="5" a="1"/>
  <c r="G335" i="5" a="1"/>
  <c r="C389" i="5" a="1"/>
  <c r="I42" i="5" a="1"/>
  <c r="E264" i="5" a="1"/>
  <c r="G116" i="5" a="1"/>
  <c r="H428" i="5" a="1"/>
  <c r="H253" i="5" a="1"/>
  <c r="D76" i="5" a="1"/>
  <c r="F410" i="5" a="1"/>
  <c r="I312" i="5" a="1"/>
  <c r="G138" i="5" a="1"/>
  <c r="E469" i="5" a="1"/>
  <c r="H304" i="5" a="1"/>
  <c r="F552" i="5" a="1"/>
  <c r="G455" i="5" a="1"/>
  <c r="C337" i="5" a="1"/>
  <c r="G114" i="5" a="1"/>
  <c r="D131" i="5" a="1"/>
  <c r="D21" i="5" a="1"/>
  <c r="G65" i="5" a="1"/>
  <c r="F275" i="5" a="1"/>
  <c r="G119" i="5" a="1"/>
  <c r="E431" i="5" a="1"/>
  <c r="E255" i="5" a="1"/>
  <c r="G82" i="5" a="1"/>
  <c r="D417" i="5" a="1"/>
  <c r="I314" i="5" a="1"/>
  <c r="E24" i="5" a="1"/>
  <c r="D472" i="5" a="1"/>
  <c r="C319" i="5" a="1"/>
  <c r="I554" i="5" a="1"/>
  <c r="E465" i="5" a="1"/>
  <c r="H350" i="5" a="1"/>
  <c r="I39" i="5" a="1"/>
  <c r="I246" i="5" a="1"/>
  <c r="D221" i="5" a="1"/>
  <c r="G201" i="5" a="1"/>
  <c r="G309" i="5" a="1"/>
  <c r="I457" i="5" a="1"/>
  <c r="E339" i="5" a="1"/>
  <c r="G190" i="5" a="1"/>
  <c r="F452" i="5" a="1"/>
  <c r="G384" i="5" a="1"/>
  <c r="F135" i="5" a="1"/>
  <c r="D503" i="5" a="1"/>
  <c r="D345" i="5" a="1"/>
  <c r="E48" i="5" a="1"/>
  <c r="C485" i="5" a="1"/>
  <c r="G407" i="5" a="1"/>
  <c r="G494" i="5" a="1"/>
  <c r="D373" i="5" a="1"/>
  <c r="I316" i="5" a="1"/>
  <c r="E164" i="5" a="1"/>
  <c r="F386" i="5" a="1"/>
  <c r="D126" i="5" a="1"/>
  <c r="F285" i="5" a="1"/>
  <c r="D125" i="5" a="1"/>
  <c r="G462" i="5" a="1"/>
  <c r="C335" i="5" a="1"/>
  <c r="I179" i="5" a="1"/>
  <c r="D510" i="5" a="1"/>
  <c r="H392" i="5" a="1"/>
  <c r="C148" i="5" a="1"/>
  <c r="C48" i="5" a="1"/>
  <c r="C527" i="5" a="1"/>
  <c r="H230" i="5" a="1"/>
  <c r="H518" i="5" a="1"/>
  <c r="E506" i="5" a="1"/>
  <c r="G458" i="5" a="1"/>
  <c r="C456" i="5" a="1"/>
  <c r="F366" i="5" a="1"/>
  <c r="I499" i="5" a="1"/>
  <c r="C481" i="5" a="1"/>
  <c r="D530" i="5" a="1"/>
  <c r="E439" i="5" a="1"/>
  <c r="D200" i="5" a="1"/>
  <c r="I341" i="5" a="1"/>
  <c r="G550" i="5" a="1"/>
  <c r="F463" i="5" a="1"/>
  <c r="G525" i="5" a="1"/>
  <c r="F408" i="5" a="1"/>
  <c r="F423" i="5" a="1"/>
  <c r="E553" i="5" a="1"/>
  <c r="I458" i="5" a="1"/>
  <c r="I478" i="5" a="1"/>
  <c r="G536" i="5" a="1"/>
  <c r="E200" i="5" a="1"/>
  <c r="E377" i="5" a="1"/>
  <c r="G483" i="5" a="1"/>
  <c r="F506" i="5" a="1"/>
  <c r="H378" i="5" a="1"/>
  <c r="H402" i="5" a="1"/>
  <c r="D358" i="5" a="1"/>
  <c r="F346" i="5" a="1"/>
  <c r="F271" i="5" a="1"/>
  <c r="G349" i="5" a="1"/>
  <c r="I361" i="5" a="1"/>
  <c r="D216" i="5" a="1"/>
  <c r="C239" i="5" a="1"/>
  <c r="I526" i="5" a="1"/>
  <c r="D374" i="5" a="1"/>
  <c r="E226" i="5" a="1"/>
  <c r="F450" i="5" a="1"/>
  <c r="I175" i="5" a="1"/>
  <c r="D23" i="5" a="1"/>
  <c r="H149" i="5" a="1"/>
  <c r="G522" i="5" a="1"/>
  <c r="D226" i="5" a="1"/>
  <c r="D383" i="5" a="1"/>
  <c r="I50" i="5" a="1"/>
  <c r="G291" i="5" a="1"/>
  <c r="F507" i="5" a="1"/>
  <c r="I425" i="5" a="1"/>
  <c r="I100" i="5" a="1"/>
  <c r="E489" i="5" a="1"/>
  <c r="C309" i="5" a="1"/>
  <c r="E277" i="5" a="1"/>
  <c r="H431" i="5" a="1"/>
  <c r="G122" i="5" a="1"/>
  <c r="H444" i="5" a="1"/>
  <c r="E444" i="5" a="1"/>
  <c r="I459" i="5" a="1"/>
  <c r="C336" i="5" a="1"/>
  <c r="F510" i="5" a="1"/>
  <c r="H257" i="5" a="1"/>
  <c r="C525" i="5" a="1"/>
  <c r="G518" i="5" a="1"/>
  <c r="F305" i="5" a="1"/>
  <c r="C344" i="5" a="1"/>
  <c r="G112" i="5" a="1"/>
  <c r="H407" i="5" a="1"/>
  <c r="C462" i="5" a="1"/>
  <c r="F536" i="5" a="1"/>
  <c r="E411" i="5" a="1"/>
  <c r="E510" i="5" a="1"/>
  <c r="I180" i="5" a="1"/>
  <c r="C192" i="5" a="1"/>
  <c r="I372" i="5" a="1"/>
  <c r="C432" i="5" a="1"/>
  <c r="E170" i="5" a="1"/>
  <c r="C514" i="5" a="1"/>
  <c r="G541" i="5" a="1"/>
  <c r="C216" i="5" a="1"/>
  <c r="G84" i="5" a="1"/>
  <c r="F496" i="5" a="1"/>
  <c r="D178" i="5" a="1"/>
  <c r="C398" i="5" a="1"/>
  <c r="F299" i="5" a="1"/>
  <c r="G399" i="5" a="1"/>
  <c r="D350" i="5" a="1"/>
  <c r="C512" i="5" a="1"/>
  <c r="F239" i="5" a="1"/>
  <c r="I331" i="5" a="1"/>
  <c r="C409" i="5" a="1"/>
  <c r="G297" i="5" a="1"/>
  <c r="G495" i="5" a="1"/>
  <c r="F83" i="5" a="1"/>
  <c r="H116" i="5" a="1"/>
  <c r="I303" i="5" a="1"/>
  <c r="E34" i="5" a="1"/>
  <c r="D207" i="5" a="1"/>
  <c r="I367" i="5" a="1"/>
  <c r="C420" i="5" a="1"/>
  <c r="H432" i="5" a="1"/>
  <c r="E518" i="5" a="1"/>
  <c r="G323" i="5" a="1"/>
  <c r="H200" i="5" a="1"/>
  <c r="I394" i="5" a="1"/>
  <c r="D446" i="5" a="1"/>
  <c r="D183" i="5" a="1"/>
  <c r="E517" i="5" a="1"/>
  <c r="C73" i="5" a="1"/>
  <c r="E227" i="5" a="1"/>
  <c r="I99" i="5" a="1"/>
  <c r="F501" i="5" a="1"/>
  <c r="D182" i="5" a="1"/>
  <c r="E401" i="5" a="1"/>
  <c r="D307" i="5" a="1"/>
  <c r="D405" i="5" a="1"/>
  <c r="H365" i="5" a="1"/>
  <c r="C534" i="5" a="1"/>
  <c r="D329" i="5" a="1"/>
  <c r="G382" i="5" a="1"/>
  <c r="H498" i="5" a="1"/>
  <c r="D420" i="5" a="1"/>
  <c r="F513" i="5" a="1"/>
  <c r="E199" i="5" a="1"/>
  <c r="I160" i="5" a="1"/>
  <c r="E364" i="5" a="1"/>
  <c r="C458" i="5" a="1"/>
  <c r="C428" i="5" a="1"/>
  <c r="C418" i="5" a="1"/>
  <c r="G272" i="5" a="1"/>
  <c r="I528" i="5" a="1"/>
  <c r="D537" i="5" a="1"/>
  <c r="E259" i="5" a="1"/>
  <c r="G409" i="5" a="1"/>
  <c r="E471" i="5" a="1"/>
  <c r="H517" i="5" a="1"/>
  <c r="H361" i="5" a="1"/>
  <c r="G433" i="5" a="1"/>
  <c r="G501" i="5" a="1"/>
  <c r="H396" i="5" a="1"/>
  <c r="F298" i="5" a="1"/>
  <c r="D434" i="5" a="1"/>
  <c r="E28" i="5" a="1"/>
  <c r="I426" i="5" a="1"/>
  <c r="C405" i="5" a="1"/>
  <c r="C495" i="5" a="1"/>
  <c r="C455" i="5" a="1"/>
  <c r="D214" i="5" a="1"/>
  <c r="D493" i="5" a="1"/>
  <c r="I340" i="5" a="1"/>
  <c r="E557" i="5" a="1"/>
  <c r="H63" i="5" a="1"/>
  <c r="C477" i="5" a="1"/>
  <c r="G414" i="5" a="1"/>
  <c r="C465" i="5" a="1"/>
  <c r="H161" i="5" a="1"/>
  <c r="I339" i="5" a="1"/>
  <c r="H284" i="5" a="1"/>
  <c r="I262" i="5" a="1"/>
  <c r="E141" i="5" a="1"/>
  <c r="G88" i="5" a="1"/>
  <c r="G168" i="5" a="1"/>
  <c r="G197" i="5" a="1"/>
  <c r="E75" i="5" a="1"/>
  <c r="C219" i="5" a="1"/>
  <c r="I208" i="5" a="1"/>
  <c r="F179" i="5" a="1"/>
  <c r="H496" i="5" a="1"/>
  <c r="C444" i="5" a="1"/>
  <c r="G285" i="5" a="1"/>
  <c r="F389" i="5" a="1"/>
  <c r="G200" i="5" a="1"/>
  <c r="I548" i="5" a="1"/>
  <c r="G421" i="5" a="1"/>
  <c r="H102" i="5" a="1"/>
  <c r="I264" i="5" a="1"/>
  <c r="E51" i="5" a="1"/>
  <c r="C468" i="5" a="1"/>
  <c r="F151" i="5" a="1"/>
  <c r="I168" i="5" a="1"/>
  <c r="F71" i="5" a="1"/>
  <c r="G473" i="5" a="1"/>
  <c r="D291" i="5" a="1"/>
  <c r="E356" i="5" a="1"/>
  <c r="F480" i="5" a="1"/>
  <c r="E528" i="5" a="1"/>
  <c r="F528" i="5" a="1"/>
  <c r="C450" i="5" a="1"/>
  <c r="E195" i="5" a="1"/>
  <c r="F544" i="5" a="1"/>
  <c r="C467" i="5" a="1"/>
  <c r="C313" i="5" a="1"/>
  <c r="E513" i="5" a="1"/>
  <c r="E193" i="5" a="1"/>
  <c r="G548" i="5" a="1"/>
  <c r="I555" i="5" a="1"/>
  <c r="I432" i="5" a="1"/>
  <c r="G373" i="5" a="1"/>
  <c r="I466" i="5" a="1"/>
  <c r="F207" i="5" a="1"/>
  <c r="C53" i="5" a="1"/>
  <c r="D520" i="5" a="1"/>
  <c r="I517" i="5" a="1"/>
  <c r="D412" i="5" a="1"/>
  <c r="F91" i="5" a="1"/>
  <c r="I258" i="5" a="1"/>
  <c r="G69" i="5" a="1"/>
  <c r="D133" i="5" a="1"/>
  <c r="C316" i="5" a="1"/>
  <c r="E43" i="5" a="1"/>
  <c r="E365" i="5" a="1"/>
  <c r="G215" i="5" a="1"/>
  <c r="H456" i="5" a="1"/>
  <c r="C545" i="5" a="1"/>
  <c r="D419" i="5" a="1"/>
  <c r="I332" i="5" a="1"/>
  <c r="I559" i="5" a="1"/>
  <c r="C179" i="5" a="1"/>
  <c r="E247" i="5" a="1"/>
  <c r="C388" i="5" a="1"/>
  <c r="H539" i="5" a="1"/>
  <c r="I556" i="5" a="1"/>
  <c r="G199" i="5" a="1"/>
  <c r="I442" i="5" a="1"/>
  <c r="I492" i="5" a="1"/>
  <c r="H158" i="5" a="1"/>
  <c r="G311" i="5" a="1"/>
  <c r="E379" i="5" a="1"/>
  <c r="H129" i="5" a="1"/>
  <c r="E499" i="5" a="1"/>
  <c r="C419" i="5" a="1"/>
  <c r="G170" i="5" a="1"/>
  <c r="H552" i="5" a="1"/>
  <c r="H454" i="5" a="1"/>
  <c r="C202" i="5" a="1"/>
  <c r="H380" i="5" a="1"/>
  <c r="D90" i="5" a="1"/>
  <c r="F356" i="5" a="1"/>
  <c r="G510" i="5" a="1"/>
  <c r="E490" i="5" a="1"/>
  <c r="F457" i="5" a="1"/>
  <c r="G367" i="5" a="1"/>
  <c r="F47" i="5" a="1"/>
  <c r="C487" i="5" a="1"/>
  <c r="E416" i="5" a="1"/>
  <c r="G83" i="5" a="1"/>
  <c r="C528" i="5" a="1"/>
  <c r="F485" i="5" a="1"/>
  <c r="G422" i="5" a="1"/>
  <c r="D217" i="5" a="1"/>
  <c r="E560" i="5" a="1"/>
  <c r="H52" i="5" a="1"/>
  <c r="H526" i="5" a="1"/>
  <c r="F382" i="5" a="1"/>
  <c r="H16" i="5" a="1"/>
  <c r="E535" i="5" a="1"/>
  <c r="I16" i="5" a="1"/>
  <c r="C232" i="5" a="1"/>
  <c r="G324" i="5" a="1"/>
  <c r="E485" i="5" a="1"/>
  <c r="D134" i="5" a="1"/>
  <c r="H506" i="5" a="1"/>
  <c r="D422" i="5" a="1"/>
  <c r="I263" i="5" a="1"/>
  <c r="E484" i="5" a="1"/>
  <c r="H208" i="5" a="1"/>
  <c r="G346" i="5" a="1"/>
  <c r="C542" i="5" a="1"/>
  <c r="I489" i="5" a="1"/>
  <c r="G524" i="5" a="1"/>
  <c r="E405" i="5" a="1"/>
  <c r="G350" i="5" a="1"/>
  <c r="F255" i="5" a="1"/>
  <c r="D137" i="5" a="1"/>
  <c r="C182" i="5" a="1"/>
  <c r="C453" i="5" a="1"/>
  <c r="G121" i="5" a="1"/>
  <c r="G552" i="5" a="1"/>
  <c r="E420" i="5" a="1"/>
  <c r="E524" i="5" a="1"/>
  <c r="D114" i="5" a="1"/>
  <c r="I343" i="5" a="1"/>
  <c r="F555" i="5" a="1"/>
  <c r="D233" i="5" a="1"/>
  <c r="C498" i="5" a="1"/>
  <c r="E26" i="5" a="1"/>
  <c r="C254" i="5" a="1"/>
  <c r="D560" i="5" a="1"/>
  <c r="D228" i="5" a="1"/>
  <c r="D414" i="5" a="1"/>
  <c r="D158" i="5" a="1"/>
  <c r="G239" i="5" a="1"/>
  <c r="C208" i="5" a="1"/>
  <c r="D242" i="5" a="1"/>
  <c r="D280" i="5" a="1"/>
  <c r="D486" i="5" a="1"/>
  <c r="D518" i="5" a="1"/>
  <c r="D464" i="5" a="1"/>
  <c r="D139" i="5" a="1"/>
  <c r="E183" i="5" a="1"/>
  <c r="E493" i="5" a="1"/>
  <c r="I386" i="5" a="1"/>
  <c r="G194" i="5" a="1"/>
  <c r="C324" i="5" a="1"/>
  <c r="I107" i="5" a="1"/>
  <c r="D482" i="5" a="1"/>
  <c r="I143" i="5" a="1"/>
  <c r="F384" i="5" a="1"/>
  <c r="F195" i="5" a="1"/>
  <c r="I511" i="5" a="1"/>
  <c r="E273" i="5" a="1"/>
  <c r="I365" i="5" a="1"/>
  <c r="H254" i="5" a="1"/>
  <c r="F325" i="5" a="1"/>
  <c r="I198" i="5" a="1"/>
  <c r="I279" i="5" a="1"/>
  <c r="C331" i="5" a="1"/>
  <c r="E322" i="5" a="1"/>
  <c r="H244" i="5" a="1"/>
  <c r="F131" i="5" a="1"/>
  <c r="H538" i="5" a="1"/>
  <c r="G551" i="5" a="1"/>
  <c r="D392" i="5" a="1"/>
  <c r="G292" i="5" a="1"/>
  <c r="C173" i="5" a="1"/>
  <c r="I195" i="5" a="1"/>
  <c r="G517" i="5" a="1"/>
  <c r="E540" i="5" a="1"/>
  <c r="F234" i="5" a="1"/>
  <c r="E87" i="5" a="1"/>
  <c r="E467" i="5" a="1"/>
  <c r="E309" i="5" a="1"/>
  <c r="I250" i="5" a="1"/>
  <c r="H376" i="5" a="1"/>
  <c r="H429" i="5" a="1"/>
  <c r="G543" i="5" a="1"/>
  <c r="E533" i="5" a="1"/>
  <c r="F551" i="5" a="1"/>
  <c r="H297" i="5" a="1"/>
  <c r="G61" i="5" a="1"/>
  <c r="H415" i="5" a="1"/>
  <c r="C348" i="5" a="1"/>
  <c r="C541" i="5" a="1"/>
  <c r="I551" i="5" a="1"/>
  <c r="D381" i="5" a="1"/>
  <c r="I475" i="5" a="1"/>
  <c r="F432" i="5" a="1"/>
  <c r="E396" i="5" a="1"/>
  <c r="E426" i="5" a="1"/>
  <c r="G478" i="5" a="1"/>
  <c r="I546" i="5" a="1"/>
  <c r="I149" i="5" a="1"/>
  <c r="D365" i="5" a="1"/>
  <c r="D516" i="5" a="1"/>
  <c r="C303" i="5" a="1"/>
  <c r="E558" i="5" a="1"/>
  <c r="H531" i="5" a="1"/>
  <c r="E232" i="5" a="1"/>
  <c r="D511" i="5" a="1"/>
  <c r="H479" i="5" a="1"/>
  <c r="F221" i="5" a="1"/>
  <c r="D527" i="5" a="1"/>
  <c r="D338" i="5" a="1"/>
  <c r="H240" i="5" a="1"/>
  <c r="F248" i="5" a="1"/>
  <c r="C533" i="5" a="1"/>
  <c r="E229" i="5" a="1"/>
  <c r="G429" i="5" a="1"/>
  <c r="H358" i="5" a="1"/>
  <c r="G101" i="5" a="1"/>
  <c r="D438" i="5" a="1"/>
  <c r="F249" i="5" a="1"/>
  <c r="G463" i="5" a="1"/>
  <c r="C521" i="5" a="1"/>
  <c r="E278" i="5" a="1"/>
  <c r="H508" i="5" a="1"/>
  <c r="F322" i="5" a="1"/>
  <c r="F215" i="5" a="1"/>
  <c r="C280" i="5" a="1"/>
  <c r="H425" i="5" a="1"/>
  <c r="I96" i="5" a="1"/>
  <c r="I382" i="5" a="1"/>
  <c r="F478" i="5" a="1"/>
  <c r="E470" i="5" a="1"/>
  <c r="C247" i="5" a="1"/>
  <c r="E94" i="5" a="1"/>
  <c r="F431" i="5" a="1"/>
  <c r="F373" i="5" a="1"/>
  <c r="D16" i="5" a="1"/>
  <c r="I189" i="5" a="1"/>
  <c r="I109" i="5" a="1"/>
  <c r="H128" i="5" a="1"/>
  <c r="F561" i="5" a="1"/>
  <c r="D561" i="5" a="1"/>
  <c r="C558" i="5" a="1"/>
  <c r="I512" i="5" a="1"/>
  <c r="D262" i="5" a="1"/>
  <c r="H413" i="5" a="1"/>
  <c r="I280" i="5" a="1"/>
  <c r="F222" i="5" a="1"/>
  <c r="H491" i="5" a="1"/>
  <c r="C308" i="5" a="1"/>
  <c r="G345" i="5" a="1"/>
  <c r="I436" i="5" a="1"/>
  <c r="G21" i="5" a="1"/>
  <c r="H309" i="5" a="1"/>
  <c r="I135" i="5" a="1"/>
  <c r="G256" i="5" a="1"/>
  <c r="E457" i="5" a="1"/>
  <c r="I523" i="5" a="1"/>
  <c r="I538" i="5" a="1"/>
  <c r="G273" i="5" a="1"/>
  <c r="E210" i="5" a="1"/>
  <c r="I391" i="5" a="1"/>
  <c r="C471" i="5" a="1"/>
  <c r="C327" i="5" a="1"/>
  <c r="G441" i="5" a="1"/>
  <c r="D409" i="5" a="1"/>
  <c r="C59" i="5" a="1"/>
  <c r="I30" i="5" a="1"/>
  <c r="H233" i="5" a="1"/>
  <c r="D314" i="5" a="1"/>
  <c r="I55" i="5" a="1"/>
  <c r="D451" i="5" a="1"/>
  <c r="G490" i="5" a="1"/>
  <c r="F519" i="5" a="1"/>
  <c r="H283" i="5" a="1"/>
  <c r="H387" i="5" a="1"/>
  <c r="C270" i="5" a="1"/>
  <c r="D471" i="5" a="1"/>
  <c r="F181" i="5" a="1"/>
  <c r="D500" i="5" a="1"/>
  <c r="I446" i="5" a="1"/>
  <c r="E295" i="5" a="1"/>
  <c r="H22" i="5" a="1"/>
  <c r="H117" i="5" a="1"/>
  <c r="D479" i="5" a="1"/>
  <c r="G359" i="5" a="1"/>
  <c r="H404" i="5" a="1"/>
  <c r="C81" i="5" a="1"/>
  <c r="G480" i="5" a="1"/>
  <c r="G363" i="5" a="1"/>
  <c r="I251" i="5" a="1"/>
  <c r="D437" i="5" a="1"/>
  <c r="H178" i="5" a="1"/>
  <c r="F273" i="5" a="1"/>
  <c r="E332" i="5" a="1"/>
  <c r="D351" i="5" a="1"/>
  <c r="E119" i="5" a="1"/>
  <c r="G325" i="5" a="1"/>
  <c r="G488" i="5" a="1"/>
  <c r="E434" i="5" a="1"/>
  <c r="D439" i="5" a="1"/>
  <c r="D144" i="5" a="1"/>
  <c r="H62" i="5" a="1"/>
  <c r="H409" i="5" a="1"/>
  <c r="D502" i="5" a="1"/>
  <c r="E63" i="5" a="1"/>
  <c r="E495" i="5" a="1"/>
  <c r="F87" i="5" a="1"/>
  <c r="I482" i="5" a="1"/>
  <c r="E406" i="5" a="1"/>
  <c r="D258" i="5" a="1"/>
  <c r="E146" i="5" a="1"/>
  <c r="G322" i="5" a="1"/>
  <c r="I467" i="5" a="1"/>
  <c r="E389" i="5" a="1"/>
  <c r="H271" i="5" a="1"/>
  <c r="E61" i="5" a="1"/>
  <c r="C361" i="5" a="1"/>
  <c r="E297" i="5" a="1"/>
  <c r="F430" i="5" a="1"/>
  <c r="C349" i="5" a="1"/>
  <c r="D213" i="5" a="1"/>
  <c r="I350" i="5" a="1"/>
  <c r="G224" i="5" a="1"/>
  <c r="H46" i="5" a="1"/>
  <c r="H421" i="5" a="1"/>
  <c r="F63" i="5" a="1"/>
  <c r="H471" i="5" a="1"/>
  <c r="I483" i="5" a="1"/>
  <c r="F401" i="5" a="1"/>
  <c r="G502" i="5" a="1"/>
  <c r="H287" i="5" a="1"/>
  <c r="E554" i="5" a="1"/>
  <c r="I290" i="5" a="1"/>
  <c r="E126" i="5" a="1"/>
  <c r="I77" i="5" a="1"/>
  <c r="I268" i="5" a="1"/>
  <c r="C561" i="5" a="1"/>
  <c r="F520" i="5" a="1"/>
  <c r="F311" i="5" a="1"/>
  <c r="G454" i="5" a="1"/>
  <c r="F449" i="5" a="1"/>
  <c r="G448" i="5" a="1"/>
  <c r="E480" i="5" a="1"/>
  <c r="D75" i="5" a="1"/>
  <c r="H294" i="5" a="1"/>
  <c r="G252" i="5" a="1"/>
  <c r="G347" i="5" a="1"/>
  <c r="G211" i="5" a="1"/>
  <c r="H523" i="5" a="1"/>
  <c r="H438" i="5" a="1"/>
  <c r="D497" i="5" a="1"/>
  <c r="F262" i="5" a="1"/>
  <c r="G460" i="5" a="1"/>
  <c r="H371" i="5" a="1"/>
  <c r="H557" i="5" a="1"/>
  <c r="D175" i="5" a="1"/>
  <c r="D202" i="5" a="1"/>
  <c r="C32" i="5" a="1"/>
  <c r="C433" i="5" a="1"/>
  <c r="H388" i="5" a="1"/>
  <c r="C401" i="5" a="1"/>
  <c r="E16" i="5" a="1"/>
  <c r="I414" i="5" a="1"/>
  <c r="E497" i="5" a="1"/>
  <c r="F16" i="5" a="1"/>
  <c r="E546" i="5" a="1"/>
  <c r="D80" i="5" a="1"/>
  <c r="C175" i="5" a="1"/>
  <c r="I506" i="5" a="1"/>
  <c r="G356" i="5" a="1"/>
  <c r="D363" i="5" a="1"/>
  <c r="I265" i="5" a="1"/>
  <c r="H318" i="5" a="1"/>
  <c r="H260" i="5" a="1"/>
  <c r="D509" i="5" a="1"/>
  <c r="H477" i="5" a="1"/>
  <c r="D548" i="5" a="1"/>
  <c r="D452" i="5" a="1"/>
  <c r="G277" i="5" a="1"/>
  <c r="H235" i="5" a="1"/>
  <c r="H373" i="5" a="1"/>
  <c r="F193" i="5" a="1"/>
  <c r="I419" i="5" a="1"/>
  <c r="I433" i="5" a="1"/>
  <c r="D204" i="5" a="1"/>
  <c r="C403" i="5" a="1"/>
  <c r="F516" i="5" a="1"/>
  <c r="I410" i="5" a="1"/>
  <c r="E77" i="5" a="1"/>
  <c r="F74" i="5" a="1"/>
  <c r="E321" i="5" a="1"/>
  <c r="G257" i="5" a="1"/>
  <c r="G184" i="5" a="1"/>
  <c r="F399" i="5" a="1"/>
  <c r="E312" i="5" a="1"/>
  <c r="D299" i="5" a="1"/>
  <c r="H369" i="5" a="1"/>
  <c r="D298" i="5" a="1"/>
  <c r="F29" i="5" a="1"/>
  <c r="F143" i="5" a="1"/>
  <c r="C317" i="5" a="1"/>
  <c r="H377" i="5" a="1"/>
  <c r="H364" i="5" a="1"/>
  <c r="I260" i="5" a="1"/>
  <c r="D444" i="5" a="1"/>
  <c r="G339" i="5" a="1"/>
  <c r="F444" i="5" a="1"/>
  <c r="H151" i="5" a="1"/>
  <c r="C186" i="5" a="1"/>
  <c r="G497" i="5" a="1"/>
  <c r="H390" i="5" a="1"/>
  <c r="D301" i="5" a="1"/>
  <c r="F237" i="5" a="1"/>
  <c r="D531" i="5" a="1"/>
  <c r="G457" i="5" a="1"/>
  <c r="D302" i="5" a="1"/>
  <c r="C160" i="5" a="1"/>
  <c r="H534" i="5" a="1"/>
  <c r="G531" i="5" a="1"/>
  <c r="G269" i="5" a="1"/>
  <c r="F504" i="5" a="1"/>
  <c r="H445" i="5" a="1"/>
  <c r="I558" i="5" a="1"/>
  <c r="F543" i="5" a="1"/>
  <c r="H121" i="5" a="1"/>
  <c r="E50" i="5" a="1"/>
  <c r="D404" i="5" a="1"/>
  <c r="I491" i="5" a="1"/>
  <c r="F336" i="5" a="1"/>
  <c r="D424" i="5" a="1"/>
  <c r="I543" i="5" a="1"/>
  <c r="F530" i="5" a="1"/>
  <c r="E491" i="5" a="1"/>
  <c r="D348" i="5" a="1"/>
  <c r="F427" i="5" a="1"/>
  <c r="G417" i="5" a="1"/>
  <c r="G260" i="5" a="1"/>
  <c r="H549" i="5" a="1"/>
  <c r="I69" i="5" a="1"/>
  <c r="F259" i="5" a="1"/>
  <c r="D397" i="5" a="1"/>
  <c r="D512" i="5" a="1"/>
  <c r="C463" i="5" a="1"/>
  <c r="G135" i="5" a="1"/>
  <c r="H548" i="5" a="1"/>
  <c r="G293" i="5" a="1"/>
  <c r="C459" i="5" a="1"/>
  <c r="H423" i="5" a="1"/>
  <c r="E378" i="5" a="1"/>
  <c r="I236" i="5" a="1"/>
  <c r="H36" i="5" a="1"/>
  <c r="C449" i="5" a="1"/>
  <c r="F541" i="5" a="1"/>
  <c r="G527" i="5" a="1"/>
  <c r="D553" i="5" a="1"/>
  <c r="G450" i="5" a="1"/>
  <c r="C16" i="5" a="1"/>
  <c r="I319" i="5" a="1"/>
  <c r="H536" i="5" a="1"/>
  <c r="H391" i="5" a="1"/>
  <c r="H466" i="5" a="1"/>
  <c r="E430" i="5" a="1"/>
  <c r="F361" i="5" a="1"/>
  <c r="I330" i="5" a="1"/>
  <c r="D333" i="5" a="1"/>
  <c r="I337" i="5" a="1"/>
  <c r="H229" i="5" a="1"/>
  <c r="I243" i="5" a="1"/>
  <c r="D353" i="5" a="1"/>
  <c r="F18" i="5" a="1"/>
  <c r="I103" i="5" a="1"/>
  <c r="F556" i="5" a="1"/>
  <c r="H314" i="5" a="1"/>
  <c r="C189" i="5" a="1"/>
  <c r="D427" i="5" a="1"/>
  <c r="E549" i="5" a="1"/>
  <c r="D223" i="5" a="1"/>
  <c r="I317" i="5" a="1"/>
  <c r="C112" i="5" a="1"/>
  <c r="E354" i="5" a="1"/>
  <c r="G529" i="5" a="1"/>
  <c r="D173" i="5" a="1"/>
  <c r="I441" i="5" a="1"/>
  <c r="I212" i="5" a="1"/>
  <c r="E237" i="5" a="1"/>
  <c r="C201" i="5" a="1"/>
  <c r="G259" i="5" a="1"/>
  <c r="G198" i="5" a="1"/>
  <c r="F415" i="5" a="1"/>
  <c r="F532" i="5" a="1"/>
  <c r="H560" i="5" a="1"/>
  <c r="C277" i="5" a="1"/>
  <c r="I122" i="5" a="1"/>
  <c r="E352" i="5" a="1"/>
  <c r="D488" i="5" a="1"/>
  <c r="I37" i="5" a="1"/>
  <c r="E99" i="5" a="1"/>
  <c r="G435" i="5" a="1"/>
  <c r="E512" i="5" a="1"/>
  <c r="I522" i="5" a="1"/>
  <c r="I273" i="5" a="1"/>
  <c r="E324" i="5" a="1"/>
  <c r="I550" i="5" a="1"/>
  <c r="E208" i="5" a="1"/>
  <c r="E452" i="5" a="1"/>
  <c r="F208" i="5" a="1"/>
  <c r="C370" i="5" a="1"/>
  <c r="G511" i="5" a="1"/>
  <c r="E539" i="5" a="1"/>
  <c r="I390" i="5" a="1"/>
  <c r="G451" i="5" a="1"/>
  <c r="D273" i="5" a="1"/>
  <c r="D308" i="5" a="1"/>
  <c r="G299" i="5" a="1"/>
  <c r="E496" i="5" a="1"/>
  <c r="F491" i="5" a="1"/>
  <c r="I496" i="5" a="1"/>
  <c r="C329" i="5" a="1"/>
  <c r="D552" i="5" a="1"/>
  <c r="H459" i="5" a="1"/>
  <c r="I274" i="5" a="1"/>
  <c r="F34" i="5" a="1"/>
  <c r="F123" i="5" a="1"/>
  <c r="H100" i="5" a="1"/>
  <c r="H84" i="5" a="1"/>
  <c r="H28" i="5" a="1"/>
  <c r="E380" i="5" a="1"/>
  <c r="I227" i="5" a="1"/>
  <c r="E433" i="5" a="1"/>
  <c r="D399" i="5" a="1"/>
  <c r="F278" i="5" a="1"/>
  <c r="C530" i="5" a="1"/>
  <c r="I404" i="5" a="1"/>
  <c r="H291" i="5" a="1"/>
  <c r="E390" i="5" a="1"/>
  <c r="E274" i="5" a="1"/>
  <c r="E78" i="5" a="1"/>
  <c r="E182" i="5" a="1"/>
  <c r="E425" i="5" a="1"/>
  <c r="D323" i="5" a="1"/>
  <c r="F227" i="5" a="1"/>
  <c r="E301" i="5" a="1"/>
  <c r="D440" i="5" a="1"/>
  <c r="D343" i="5" a="1"/>
  <c r="H558" i="5" a="1"/>
  <c r="C406" i="5" a="1"/>
  <c r="C439" i="5" a="1"/>
  <c r="C518" i="5" a="1"/>
  <c r="I202" i="5" a="1"/>
  <c r="H458" i="5" a="1"/>
  <c r="I210" i="5" a="1"/>
  <c r="C281" i="5" a="1"/>
  <c r="I472" i="5" a="1"/>
  <c r="C91" i="5" a="1"/>
  <c r="H406" i="5" a="1"/>
  <c r="E19" i="5" a="1"/>
  <c r="C382" i="5" a="1"/>
  <c r="H374" i="5" a="1"/>
  <c r="E404" i="5" a="1"/>
  <c r="E460" i="5" a="1"/>
  <c r="D282" i="5" a="1"/>
  <c r="E501" i="5" a="1"/>
  <c r="G538" i="5" a="1"/>
  <c r="E281" i="5" a="1"/>
  <c r="F554" i="5" a="1"/>
  <c r="E341" i="5" a="1"/>
  <c r="D191" i="5" a="1"/>
  <c r="C63" i="5" a="1"/>
  <c r="H187" i="5" a="1"/>
  <c r="H256" i="5" a="1"/>
  <c r="E57" i="5" a="1"/>
  <c r="F524" i="5" a="1"/>
  <c r="E543" i="5" a="1"/>
  <c r="D425" i="5" a="1"/>
  <c r="C206" i="5" a="1"/>
  <c r="F451" i="5" a="1"/>
  <c r="I233" i="5" a="1"/>
  <c r="C301" i="5" a="1"/>
  <c r="C225" i="5" a="1"/>
  <c r="G547" i="5" a="1"/>
  <c r="F533" i="5" a="1"/>
  <c r="D109" i="5" a="1"/>
  <c r="E477" i="5" a="1"/>
  <c r="F447" i="5" a="1"/>
  <c r="H475" i="5" a="1"/>
  <c r="E552" i="5" a="1"/>
  <c r="E21" i="5" a="1"/>
  <c r="H351" i="5" a="1"/>
  <c r="F411" i="5" a="1"/>
  <c r="G499" i="5" a="1"/>
  <c r="E523" i="5" a="1"/>
  <c r="H363" i="5" a="1"/>
  <c r="G464" i="5" a="1"/>
  <c r="C519" i="5" a="1"/>
  <c r="D400" i="5" a="1"/>
  <c r="E383" i="5" a="1"/>
  <c r="F456" i="5" a="1"/>
  <c r="F292" i="5" a="1"/>
  <c r="D470" i="5" a="1"/>
  <c r="D416" i="5" a="1"/>
  <c r="F497" i="5" a="1"/>
  <c r="G43" i="5" a="1"/>
  <c r="I371" i="5" a="1"/>
  <c r="H519" i="5" a="1"/>
  <c r="G360" i="5" a="1"/>
  <c r="E212" i="5" a="1"/>
  <c r="I304" i="5" a="1"/>
  <c r="C504" i="5" a="1"/>
  <c r="F505" i="5" a="1"/>
  <c r="D528" i="5" a="1"/>
  <c r="G521" i="5" a="1"/>
  <c r="C299" i="5" a="1"/>
  <c r="G523" i="5" a="1"/>
  <c r="E447" i="5" a="1"/>
  <c r="F302" i="5" a="1"/>
  <c r="D237" i="5" a="1"/>
  <c r="F546" i="5" a="1"/>
  <c r="I284" i="5" a="1"/>
  <c r="C323" i="5" a="1"/>
  <c r="D303" i="5" a="1"/>
  <c r="D485" i="5" a="1"/>
  <c r="F486" i="5" a="1"/>
  <c r="G532" i="5" a="1"/>
  <c r="E358" i="5" a="1"/>
  <c r="F484" i="5" a="1"/>
  <c r="C359" i="5" a="1"/>
  <c r="I557" i="5" a="1"/>
  <c r="H38" i="5" a="1"/>
  <c r="F454" i="5" a="1"/>
  <c r="F153" i="5" a="1"/>
  <c r="G416" i="5" a="1"/>
  <c r="F503" i="5" a="1"/>
  <c r="F549" i="5" a="1"/>
  <c r="H142" i="5" a="1"/>
  <c r="I480" i="5" a="1"/>
  <c r="E481" i="5" a="1"/>
  <c r="E374" i="5" a="1"/>
  <c r="F394" i="5" a="1"/>
  <c r="G481" i="5" a="1"/>
  <c r="E413" i="5" a="1"/>
  <c r="I285" i="5" a="1"/>
  <c r="C548" i="5" a="1"/>
  <c r="E450" i="5" a="1"/>
  <c r="F420" i="5" a="1"/>
  <c r="I56" i="5" a="1"/>
  <c r="G37" i="5" a="1"/>
  <c r="H274" i="5" a="1"/>
  <c r="E440" i="5" a="1"/>
  <c r="I500" i="5" a="1"/>
  <c r="E262" i="5" a="1"/>
  <c r="F329" i="5" a="1"/>
  <c r="G173" i="5" a="1"/>
  <c r="F396" i="5" a="1"/>
  <c r="H122" i="5" a="1"/>
  <c r="D205" i="5" a="1"/>
  <c r="H424" i="5" a="1"/>
  <c r="C204" i="5" a="1"/>
  <c r="H89" i="5" a="1"/>
  <c r="C540" i="5" a="1"/>
  <c r="G449" i="5" a="1"/>
  <c r="G364" i="5" a="1"/>
  <c r="I104" i="5" a="1"/>
  <c r="G118" i="5" a="1"/>
  <c r="F283" i="5" a="1"/>
  <c r="G446" i="5" a="1"/>
  <c r="D341" i="5" a="1"/>
  <c r="I106" i="5" a="1"/>
  <c r="F404" i="5" a="1"/>
  <c r="I474" i="5" a="1"/>
  <c r="I387" i="5" a="1"/>
  <c r="E318" i="5" a="1"/>
  <c r="H65" i="5" a="1"/>
  <c r="C486" i="5" a="1"/>
  <c r="D429" i="5" a="1"/>
  <c r="D61" i="5" a="1"/>
  <c r="H472" i="5" a="1"/>
  <c r="H311" i="5" a="1"/>
  <c r="C194" i="5" a="1"/>
  <c r="C71" i="5" a="1"/>
  <c r="C367" i="5" a="1"/>
  <c r="D369" i="5" a="1"/>
  <c r="I370" i="5" a="1"/>
  <c r="E400" i="5" a="1"/>
  <c r="F446" i="5" a="1"/>
  <c r="C346" i="5" a="1"/>
  <c r="G397" i="5" a="1"/>
  <c r="D249" i="5" a="1"/>
  <c r="E459" i="5" a="1"/>
  <c r="E544" i="5" a="1"/>
  <c r="F557" i="5" a="1"/>
  <c r="D525" i="5" a="1"/>
  <c r="G263" i="5" a="1"/>
  <c r="C46" i="5" a="1"/>
  <c r="C408" i="5" a="1"/>
  <c r="D324" i="5" a="1"/>
  <c r="H513" i="5" a="1"/>
  <c r="H546" i="5" a="1"/>
  <c r="E319" i="5" a="1"/>
  <c r="F529" i="5" a="1"/>
  <c r="G444" i="5" a="1"/>
  <c r="I253" i="5" a="1"/>
  <c r="G398" i="5" a="1"/>
  <c r="E483" i="5" a="1"/>
  <c r="D549" i="5" a="1"/>
  <c r="E175" i="5" a="1"/>
  <c r="G340" i="5" a="1"/>
  <c r="F421" i="5" a="1"/>
  <c r="I186" i="5" a="1"/>
  <c r="F316" i="5" a="1"/>
  <c r="F467" i="5" a="1"/>
  <c r="I473" i="5" a="1"/>
  <c r="D436" i="5" a="1"/>
  <c r="F465" i="5" a="1"/>
  <c r="D153" i="5" a="1"/>
  <c r="C559" i="5" a="1"/>
  <c r="D448" i="5" a="1"/>
  <c r="F357" i="5" a="1"/>
  <c r="D550" i="5" a="1"/>
  <c r="H467" i="5" a="1"/>
  <c r="H266" i="5" a="1"/>
  <c r="C249" i="5" a="1"/>
  <c r="C402" i="5" a="1"/>
  <c r="C547" i="5" a="1"/>
  <c r="E345" i="5" a="1"/>
  <c r="F422" i="5" a="1"/>
  <c r="I435" i="5" a="1"/>
  <c r="H541" i="5" a="1"/>
  <c r="G475" i="5" a="1"/>
  <c r="C169" i="5" a="1"/>
  <c r="H486" i="5" a="1"/>
  <c r="I560" i="5" a="1"/>
  <c r="I486" i="5" a="1"/>
  <c r="I259" i="5" a="1"/>
  <c r="D87" i="5" a="1"/>
  <c r="D457" i="5" a="1"/>
  <c r="G505" i="5" a="1"/>
  <c r="F460" i="5" a="1"/>
  <c r="I513" i="5" a="1"/>
  <c r="H505" i="5" a="1"/>
  <c r="C452" i="5" a="1"/>
  <c r="I328" i="5" a="1"/>
  <c r="H401" i="5" a="1"/>
  <c r="C109" i="5" a="1"/>
  <c r="F414" i="5" a="1"/>
  <c r="D99" i="5" a="1"/>
  <c r="C454" i="5" a="1"/>
  <c r="D450" i="5" a="1"/>
  <c r="G16" i="5" a="1"/>
  <c r="I92" i="5" a="1"/>
  <c r="F400" i="5" a="1"/>
  <c r="C435" i="5" a="1"/>
  <c r="G275" i="5" a="1"/>
  <c r="G477" i="5" a="1"/>
  <c r="F303" i="5" a="1"/>
  <c r="F125" i="5" a="1"/>
  <c r="I384" i="5" a="1"/>
  <c r="I553" i="5" a="1"/>
  <c r="G487" i="5" a="1"/>
  <c r="H399" i="5" a="1"/>
  <c r="H451" i="5" a="1"/>
  <c r="G437" i="5" a="1"/>
  <c r="G467" i="5" a="1"/>
  <c r="E71" i="5" a="1"/>
  <c r="H339" i="5" a="1"/>
  <c r="E93" i="5" a="1"/>
  <c r="C98" i="5" a="1"/>
  <c r="F31" i="5" a="1"/>
  <c r="I524" i="5" a="1"/>
  <c r="F137" i="5" a="1"/>
  <c r="F499" i="5" a="1"/>
  <c r="E446" i="5" a="1"/>
  <c r="H453" i="5" a="1"/>
  <c r="E542" i="5" a="1"/>
  <c r="E242" i="5" a="1"/>
  <c r="E548" i="5" a="1"/>
  <c r="I502" i="5" a="1"/>
  <c r="C310" i="5" a="1"/>
  <c r="H465" i="5" a="1"/>
  <c r="I516" i="5" a="1"/>
  <c r="I516" i="5" l="1"/>
  <c r="H465" i="5"/>
  <c r="C310" i="5"/>
  <c r="I502" i="5"/>
  <c r="E548" i="5"/>
  <c r="E242" i="5"/>
  <c r="E542" i="5"/>
  <c r="H453" i="5"/>
  <c r="E446" i="5"/>
  <c r="F499" i="5"/>
  <c r="F137" i="5"/>
  <c r="I524" i="5"/>
  <c r="F31" i="5"/>
  <c r="C98" i="5"/>
  <c r="E93" i="5"/>
  <c r="H339" i="5"/>
  <c r="E71" i="5"/>
  <c r="G467" i="5"/>
  <c r="G437" i="5"/>
  <c r="H451" i="5"/>
  <c r="H399" i="5"/>
  <c r="G487" i="5"/>
  <c r="I553" i="5"/>
  <c r="I384" i="5"/>
  <c r="F125" i="5"/>
  <c r="F303" i="5"/>
  <c r="G477" i="5"/>
  <c r="G275" i="5"/>
  <c r="C435" i="5"/>
  <c r="F400" i="5"/>
  <c r="I92" i="5"/>
  <c r="G16" i="5"/>
  <c r="D450" i="5"/>
  <c r="C454" i="5"/>
  <c r="D99" i="5"/>
  <c r="F414" i="5"/>
  <c r="C109" i="5"/>
  <c r="H401" i="5"/>
  <c r="I328" i="5"/>
  <c r="C452" i="5"/>
  <c r="H505" i="5"/>
  <c r="I513" i="5"/>
  <c r="F460" i="5"/>
  <c r="G505" i="5"/>
  <c r="D457" i="5"/>
  <c r="D87" i="5"/>
  <c r="I259" i="5"/>
  <c r="I486" i="5"/>
  <c r="I560" i="5"/>
  <c r="H486" i="5"/>
  <c r="C169" i="5"/>
  <c r="G475" i="5"/>
  <c r="H541" i="5"/>
  <c r="I435" i="5"/>
  <c r="F422" i="5"/>
  <c r="E345" i="5"/>
  <c r="C547" i="5"/>
  <c r="C402" i="5"/>
  <c r="C249" i="5"/>
  <c r="H266" i="5"/>
  <c r="H467" i="5"/>
  <c r="D550" i="5"/>
  <c r="F357" i="5"/>
  <c r="D448" i="5"/>
  <c r="C559" i="5"/>
  <c r="D153" i="5"/>
  <c r="F465" i="5"/>
  <c r="D436" i="5"/>
  <c r="I473" i="5"/>
  <c r="F467" i="5"/>
  <c r="F316" i="5"/>
  <c r="I186" i="5"/>
  <c r="F421" i="5"/>
  <c r="G340" i="5"/>
  <c r="E175" i="5"/>
  <c r="D549" i="5"/>
  <c r="E483" i="5"/>
  <c r="G398" i="5"/>
  <c r="I253" i="5"/>
  <c r="G444" i="5"/>
  <c r="F529" i="5"/>
  <c r="E319" i="5"/>
  <c r="H546" i="5"/>
  <c r="H513" i="5"/>
  <c r="D324" i="5"/>
  <c r="C408" i="5"/>
  <c r="C46" i="5"/>
  <c r="G263" i="5"/>
  <c r="D525" i="5"/>
  <c r="F557" i="5"/>
  <c r="E544" i="5"/>
  <c r="E459" i="5"/>
  <c r="D249" i="5"/>
  <c r="G397" i="5"/>
  <c r="C346" i="5"/>
  <c r="F446" i="5"/>
  <c r="E400" i="5"/>
  <c r="I370" i="5"/>
  <c r="D369" i="5"/>
  <c r="C367" i="5"/>
  <c r="C71" i="5"/>
  <c r="C194" i="5"/>
  <c r="H311" i="5"/>
  <c r="H472" i="5"/>
  <c r="D61" i="5"/>
  <c r="D429" i="5"/>
  <c r="C486" i="5"/>
  <c r="H65" i="5"/>
  <c r="E318" i="5"/>
  <c r="I387" i="5"/>
  <c r="I474" i="5"/>
  <c r="F404" i="5"/>
  <c r="I106" i="5"/>
  <c r="D341" i="5"/>
  <c r="G446" i="5"/>
  <c r="F283" i="5"/>
  <c r="G118" i="5"/>
  <c r="I104" i="5"/>
  <c r="G364" i="5"/>
  <c r="G449" i="5"/>
  <c r="C540" i="5"/>
  <c r="H89" i="5"/>
  <c r="C204" i="5"/>
  <c r="H424" i="5"/>
  <c r="D205" i="5"/>
  <c r="H122" i="5"/>
  <c r="F396" i="5"/>
  <c r="G173" i="5"/>
  <c r="F329" i="5"/>
  <c r="E262" i="5"/>
  <c r="I500" i="5"/>
  <c r="E440" i="5"/>
  <c r="H274" i="5"/>
  <c r="G37" i="5"/>
  <c r="I56" i="5"/>
  <c r="F420" i="5"/>
  <c r="E450" i="5"/>
  <c r="C548" i="5"/>
  <c r="I285" i="5"/>
  <c r="E413" i="5"/>
  <c r="G481" i="5"/>
  <c r="F394" i="5"/>
  <c r="E374" i="5"/>
  <c r="E481" i="5"/>
  <c r="I480" i="5"/>
  <c r="H142" i="5"/>
  <c r="F549" i="5"/>
  <c r="F503" i="5"/>
  <c r="G416" i="5"/>
  <c r="F153" i="5"/>
  <c r="F454" i="5"/>
  <c r="H38" i="5"/>
  <c r="I557" i="5"/>
  <c r="C359" i="5"/>
  <c r="F484" i="5"/>
  <c r="E358" i="5"/>
  <c r="G532" i="5"/>
  <c r="F486" i="5"/>
  <c r="D485" i="5"/>
  <c r="D303" i="5"/>
  <c r="C323" i="5"/>
  <c r="I284" i="5"/>
  <c r="F546" i="5"/>
  <c r="D237" i="5"/>
  <c r="F302" i="5"/>
  <c r="E447" i="5"/>
  <c r="G523" i="5"/>
  <c r="C299" i="5"/>
  <c r="G521" i="5"/>
  <c r="D528" i="5"/>
  <c r="F505" i="5"/>
  <c r="C504" i="5"/>
  <c r="I304" i="5"/>
  <c r="E212" i="5"/>
  <c r="G360" i="5"/>
  <c r="H519" i="5"/>
  <c r="I371" i="5"/>
  <c r="G43" i="5"/>
  <c r="F497" i="5"/>
  <c r="D416" i="5"/>
  <c r="D470" i="5"/>
  <c r="F292" i="5"/>
  <c r="F456" i="5"/>
  <c r="E383" i="5"/>
  <c r="D400" i="5"/>
  <c r="C519" i="5"/>
  <c r="G464" i="5"/>
  <c r="H363" i="5"/>
  <c r="E523" i="5"/>
  <c r="G499" i="5"/>
  <c r="F411" i="5"/>
  <c r="H351" i="5"/>
  <c r="E21" i="5"/>
  <c r="E552" i="5"/>
  <c r="H475" i="5"/>
  <c r="F447" i="5"/>
  <c r="E477" i="5"/>
  <c r="D109" i="5"/>
  <c r="F533" i="5"/>
  <c r="G547" i="5"/>
  <c r="C225" i="5"/>
  <c r="C301" i="5"/>
  <c r="I233" i="5"/>
  <c r="F451" i="5"/>
  <c r="C206" i="5"/>
  <c r="D425" i="5"/>
  <c r="E543" i="5"/>
  <c r="F524" i="5"/>
  <c r="E57" i="5"/>
  <c r="H256" i="5"/>
  <c r="H187" i="5"/>
  <c r="C63" i="5"/>
  <c r="D191" i="5"/>
  <c r="E341" i="5"/>
  <c r="F554" i="5"/>
  <c r="E281" i="5"/>
  <c r="G538" i="5"/>
  <c r="E501" i="5"/>
  <c r="D282" i="5"/>
  <c r="E460" i="5"/>
  <c r="E404" i="5"/>
  <c r="H374" i="5"/>
  <c r="C382" i="5"/>
  <c r="E19" i="5"/>
  <c r="H406" i="5"/>
  <c r="C91" i="5"/>
  <c r="I472" i="5"/>
  <c r="C281" i="5"/>
  <c r="I210" i="5"/>
  <c r="H458" i="5"/>
  <c r="I202" i="5"/>
  <c r="C518" i="5"/>
  <c r="C439" i="5"/>
  <c r="C406" i="5"/>
  <c r="H558" i="5"/>
  <c r="D343" i="5"/>
  <c r="D440" i="5"/>
  <c r="E301" i="5"/>
  <c r="F227" i="5"/>
  <c r="D323" i="5"/>
  <c r="E425" i="5"/>
  <c r="E182" i="5"/>
  <c r="E78" i="5"/>
  <c r="E274" i="5"/>
  <c r="E390" i="5"/>
  <c r="H291" i="5"/>
  <c r="I404" i="5"/>
  <c r="C530" i="5"/>
  <c r="F278" i="5"/>
  <c r="D399" i="5"/>
  <c r="E433" i="5"/>
  <c r="I227" i="5"/>
  <c r="E380" i="5"/>
  <c r="H28" i="5"/>
  <c r="H84" i="5"/>
  <c r="H100" i="5"/>
  <c r="F123" i="5"/>
  <c r="F34" i="5"/>
  <c r="I274" i="5"/>
  <c r="H459" i="5"/>
  <c r="D552" i="5"/>
  <c r="C329" i="5"/>
  <c r="I496" i="5"/>
  <c r="F491" i="5"/>
  <c r="E496" i="5"/>
  <c r="G299" i="5"/>
  <c r="D308" i="5"/>
  <c r="D273" i="5"/>
  <c r="G451" i="5"/>
  <c r="I390" i="5"/>
  <c r="E539" i="5"/>
  <c r="G511" i="5"/>
  <c r="C370" i="5"/>
  <c r="T370" i="5" s="1"/>
  <c r="F208" i="5"/>
  <c r="E452" i="5"/>
  <c r="E208" i="5"/>
  <c r="I550" i="5"/>
  <c r="E324" i="5"/>
  <c r="I273" i="5"/>
  <c r="I522" i="5"/>
  <c r="E512" i="5"/>
  <c r="G435" i="5"/>
  <c r="E99" i="5"/>
  <c r="I37" i="5"/>
  <c r="D488" i="5"/>
  <c r="E352" i="5"/>
  <c r="I122" i="5"/>
  <c r="C277" i="5"/>
  <c r="H560" i="5"/>
  <c r="F532" i="5"/>
  <c r="F415" i="5"/>
  <c r="G198" i="5"/>
  <c r="G259" i="5"/>
  <c r="C201" i="5"/>
  <c r="E237" i="5"/>
  <c r="I212" i="5"/>
  <c r="I441" i="5"/>
  <c r="D173" i="5"/>
  <c r="G529" i="5"/>
  <c r="E354" i="5"/>
  <c r="C112" i="5"/>
  <c r="I317" i="5"/>
  <c r="D223" i="5"/>
  <c r="E549" i="5"/>
  <c r="D427" i="5"/>
  <c r="C189" i="5"/>
  <c r="H314" i="5"/>
  <c r="F556" i="5"/>
  <c r="I103" i="5"/>
  <c r="F18" i="5"/>
  <c r="D353" i="5"/>
  <c r="I243" i="5"/>
  <c r="H229" i="5"/>
  <c r="I337" i="5"/>
  <c r="D333" i="5"/>
  <c r="I330" i="5"/>
  <c r="F361" i="5"/>
  <c r="E430" i="5"/>
  <c r="H466" i="5"/>
  <c r="H391" i="5"/>
  <c r="H536" i="5"/>
  <c r="I319" i="5"/>
  <c r="C16" i="5"/>
  <c r="G450" i="5"/>
  <c r="D553" i="5"/>
  <c r="G527" i="5"/>
  <c r="F541" i="5"/>
  <c r="C449" i="5"/>
  <c r="H36" i="5"/>
  <c r="I236" i="5"/>
  <c r="E378" i="5"/>
  <c r="H423" i="5"/>
  <c r="C459" i="5"/>
  <c r="G293" i="5"/>
  <c r="H548" i="5"/>
  <c r="G135" i="5"/>
  <c r="C463" i="5"/>
  <c r="D512" i="5"/>
  <c r="D397" i="5"/>
  <c r="F259" i="5"/>
  <c r="I69" i="5"/>
  <c r="H549" i="5"/>
  <c r="G260" i="5"/>
  <c r="G417" i="5"/>
  <c r="F427" i="5"/>
  <c r="D348" i="5"/>
  <c r="E491" i="5"/>
  <c r="F530" i="5"/>
  <c r="I543" i="5"/>
  <c r="D424" i="5"/>
  <c r="F336" i="5"/>
  <c r="I491" i="5"/>
  <c r="D404" i="5"/>
  <c r="E50" i="5"/>
  <c r="H121" i="5"/>
  <c r="F543" i="5"/>
  <c r="I558" i="5"/>
  <c r="H445" i="5"/>
  <c r="F504" i="5"/>
  <c r="G269" i="5"/>
  <c r="G531" i="5"/>
  <c r="H534" i="5"/>
  <c r="C160" i="5"/>
  <c r="D302" i="5"/>
  <c r="G457" i="5"/>
  <c r="D531" i="5"/>
  <c r="F237" i="5"/>
  <c r="D301" i="5"/>
  <c r="H390" i="5"/>
  <c r="G497" i="5"/>
  <c r="C186" i="5"/>
  <c r="H151" i="5"/>
  <c r="F444" i="5"/>
  <c r="G339" i="5"/>
  <c r="D444" i="5"/>
  <c r="I260" i="5"/>
  <c r="H364" i="5"/>
  <c r="H377" i="5"/>
  <c r="C317" i="5"/>
  <c r="F143" i="5"/>
  <c r="F29" i="5"/>
  <c r="D298" i="5"/>
  <c r="H369" i="5"/>
  <c r="D299" i="5"/>
  <c r="E312" i="5"/>
  <c r="F399" i="5"/>
  <c r="G184" i="5"/>
  <c r="G257" i="5"/>
  <c r="E321" i="5"/>
  <c r="F74" i="5"/>
  <c r="E77" i="5"/>
  <c r="I410" i="5"/>
  <c r="F516" i="5"/>
  <c r="C403" i="5"/>
  <c r="D204" i="5"/>
  <c r="I433" i="5"/>
  <c r="I419" i="5"/>
  <c r="F193" i="5"/>
  <c r="H373" i="5"/>
  <c r="H235" i="5"/>
  <c r="G277" i="5"/>
  <c r="D452" i="5"/>
  <c r="D548" i="5"/>
  <c r="H477" i="5"/>
  <c r="D509" i="5"/>
  <c r="H260" i="5"/>
  <c r="H318" i="5"/>
  <c r="I265" i="5"/>
  <c r="D363" i="5"/>
  <c r="G356" i="5"/>
  <c r="I506" i="5"/>
  <c r="C175" i="5"/>
  <c r="D80" i="5"/>
  <c r="E546" i="5"/>
  <c r="F16" i="5"/>
  <c r="E497" i="5"/>
  <c r="Q497" i="5" s="1"/>
  <c r="I414" i="5"/>
  <c r="E16" i="5"/>
  <c r="C401" i="5"/>
  <c r="H388" i="5"/>
  <c r="C433" i="5"/>
  <c r="C32" i="5"/>
  <c r="D202" i="5"/>
  <c r="D175" i="5"/>
  <c r="H557" i="5"/>
  <c r="H371" i="5"/>
  <c r="G460" i="5"/>
  <c r="F262" i="5"/>
  <c r="D497" i="5"/>
  <c r="H438" i="5"/>
  <c r="H523" i="5"/>
  <c r="G211" i="5"/>
  <c r="G347" i="5"/>
  <c r="G252" i="5"/>
  <c r="H294" i="5"/>
  <c r="D75" i="5"/>
  <c r="E480" i="5"/>
  <c r="G448" i="5"/>
  <c r="F449" i="5"/>
  <c r="G454" i="5"/>
  <c r="F311" i="5"/>
  <c r="F520" i="5"/>
  <c r="C561" i="5"/>
  <c r="I268" i="5"/>
  <c r="I77" i="5"/>
  <c r="E126" i="5"/>
  <c r="I290" i="5"/>
  <c r="E554" i="5"/>
  <c r="H287" i="5"/>
  <c r="G502" i="5"/>
  <c r="F401" i="5"/>
  <c r="I483" i="5"/>
  <c r="H471" i="5"/>
  <c r="F63" i="5"/>
  <c r="H421" i="5"/>
  <c r="H46" i="5"/>
  <c r="G224" i="5"/>
  <c r="I350" i="5"/>
  <c r="D213" i="5"/>
  <c r="C349" i="5"/>
  <c r="F430" i="5"/>
  <c r="E297" i="5"/>
  <c r="C361" i="5"/>
  <c r="E61" i="5"/>
  <c r="H271" i="5"/>
  <c r="E389" i="5"/>
  <c r="I467" i="5"/>
  <c r="G322" i="5"/>
  <c r="E146" i="5"/>
  <c r="D258" i="5"/>
  <c r="E406" i="5"/>
  <c r="I482" i="5"/>
  <c r="F87" i="5"/>
  <c r="E495" i="5"/>
  <c r="E63" i="5"/>
  <c r="D502" i="5"/>
  <c r="H409" i="5"/>
  <c r="H62" i="5"/>
  <c r="D144" i="5"/>
  <c r="D439" i="5"/>
  <c r="E434" i="5"/>
  <c r="G488" i="5"/>
  <c r="G325" i="5"/>
  <c r="E119" i="5"/>
  <c r="D351" i="5"/>
  <c r="E332" i="5"/>
  <c r="F273" i="5"/>
  <c r="H178" i="5"/>
  <c r="D437" i="5"/>
  <c r="I251" i="5"/>
  <c r="G363" i="5"/>
  <c r="G480" i="5"/>
  <c r="C81" i="5"/>
  <c r="H404" i="5"/>
  <c r="G359" i="5"/>
  <c r="D479" i="5"/>
  <c r="H117" i="5"/>
  <c r="H22" i="5"/>
  <c r="E295" i="5"/>
  <c r="I446" i="5"/>
  <c r="D500" i="5"/>
  <c r="F181" i="5"/>
  <c r="D471" i="5"/>
  <c r="C270" i="5"/>
  <c r="H387" i="5"/>
  <c r="H283" i="5"/>
  <c r="F519" i="5"/>
  <c r="G490" i="5"/>
  <c r="D451" i="5"/>
  <c r="I55" i="5"/>
  <c r="D314" i="5"/>
  <c r="H233" i="5"/>
  <c r="I30" i="5"/>
  <c r="C59" i="5"/>
  <c r="D409" i="5"/>
  <c r="G441" i="5"/>
  <c r="C327" i="5"/>
  <c r="C471" i="5"/>
  <c r="I391" i="5"/>
  <c r="E210" i="5"/>
  <c r="G273" i="5"/>
  <c r="I538" i="5"/>
  <c r="I523" i="5"/>
  <c r="E457" i="5"/>
  <c r="G256" i="5"/>
  <c r="I135" i="5"/>
  <c r="H309" i="5"/>
  <c r="G21" i="5"/>
  <c r="I436" i="5"/>
  <c r="G345" i="5"/>
  <c r="C308" i="5"/>
  <c r="H491" i="5"/>
  <c r="F222" i="5"/>
  <c r="I280" i="5"/>
  <c r="H413" i="5"/>
  <c r="D262" i="5"/>
  <c r="I512" i="5"/>
  <c r="C558" i="5"/>
  <c r="D561" i="5"/>
  <c r="F561" i="5"/>
  <c r="H128" i="5"/>
  <c r="I109" i="5"/>
  <c r="T109" i="5" s="1"/>
  <c r="I189" i="5"/>
  <c r="D16" i="5"/>
  <c r="F373" i="5"/>
  <c r="F431" i="5"/>
  <c r="E94" i="5"/>
  <c r="C247" i="5"/>
  <c r="E470" i="5"/>
  <c r="F478" i="5"/>
  <c r="I382" i="5"/>
  <c r="I96" i="5"/>
  <c r="H425" i="5"/>
  <c r="C280" i="5"/>
  <c r="F215" i="5"/>
  <c r="F322" i="5"/>
  <c r="H508" i="5"/>
  <c r="E278" i="5"/>
  <c r="C521" i="5"/>
  <c r="G463" i="5"/>
  <c r="F249" i="5"/>
  <c r="D438" i="5"/>
  <c r="G101" i="5"/>
  <c r="H358" i="5"/>
  <c r="G429" i="5"/>
  <c r="E229" i="5"/>
  <c r="C533" i="5"/>
  <c r="F248" i="5"/>
  <c r="H240" i="5"/>
  <c r="D338" i="5"/>
  <c r="D527" i="5"/>
  <c r="F221" i="5"/>
  <c r="H479" i="5"/>
  <c r="D511" i="5"/>
  <c r="E232" i="5"/>
  <c r="H531" i="5"/>
  <c r="E558" i="5"/>
  <c r="C303" i="5"/>
  <c r="D516" i="5"/>
  <c r="D365" i="5"/>
  <c r="I149" i="5"/>
  <c r="I546" i="5"/>
  <c r="G478" i="5"/>
  <c r="E426" i="5"/>
  <c r="E396" i="5"/>
  <c r="F432" i="5"/>
  <c r="I475" i="5"/>
  <c r="D381" i="5"/>
  <c r="I551" i="5"/>
  <c r="C541" i="5"/>
  <c r="C348" i="5"/>
  <c r="H415" i="5"/>
  <c r="G61" i="5"/>
  <c r="H297" i="5"/>
  <c r="F551" i="5"/>
  <c r="E533" i="5"/>
  <c r="G543" i="5"/>
  <c r="H429" i="5"/>
  <c r="H376" i="5"/>
  <c r="I250" i="5"/>
  <c r="E309" i="5"/>
  <c r="E467" i="5"/>
  <c r="E87" i="5"/>
  <c r="F234" i="5"/>
  <c r="E540" i="5"/>
  <c r="G517" i="5"/>
  <c r="I195" i="5"/>
  <c r="C173" i="5"/>
  <c r="G292" i="5"/>
  <c r="D392" i="5"/>
  <c r="G551" i="5"/>
  <c r="H538" i="5"/>
  <c r="F131" i="5"/>
  <c r="H244" i="5"/>
  <c r="E322" i="5"/>
  <c r="C331" i="5"/>
  <c r="I279" i="5"/>
  <c r="I198" i="5"/>
  <c r="F325" i="5"/>
  <c r="H254" i="5"/>
  <c r="I365" i="5"/>
  <c r="E273" i="5"/>
  <c r="I511" i="5"/>
  <c r="F195" i="5"/>
  <c r="F384" i="5"/>
  <c r="I143" i="5"/>
  <c r="D482" i="5"/>
  <c r="I107" i="5"/>
  <c r="C324" i="5"/>
  <c r="G194" i="5"/>
  <c r="I386" i="5"/>
  <c r="E493" i="5"/>
  <c r="E183" i="5"/>
  <c r="D139" i="5"/>
  <c r="D464" i="5"/>
  <c r="D518" i="5"/>
  <c r="D486" i="5"/>
  <c r="D280" i="5"/>
  <c r="D242" i="5"/>
  <c r="C208" i="5"/>
  <c r="G239" i="5"/>
  <c r="D158" i="5"/>
  <c r="D414" i="5"/>
  <c r="D228" i="5"/>
  <c r="D560" i="5"/>
  <c r="C254" i="5"/>
  <c r="E26" i="5"/>
  <c r="C498" i="5"/>
  <c r="D233" i="5"/>
  <c r="F555" i="5"/>
  <c r="I343" i="5"/>
  <c r="D114" i="5"/>
  <c r="E524" i="5"/>
  <c r="E420" i="5"/>
  <c r="G552" i="5"/>
  <c r="G121" i="5"/>
  <c r="C453" i="5"/>
  <c r="C182" i="5"/>
  <c r="D137" i="5"/>
  <c r="F255" i="5"/>
  <c r="G350" i="5"/>
  <c r="E405" i="5"/>
  <c r="G524" i="5"/>
  <c r="I489" i="5"/>
  <c r="C542" i="5"/>
  <c r="G346" i="5"/>
  <c r="H208" i="5"/>
  <c r="E484" i="5"/>
  <c r="I263" i="5"/>
  <c r="D422" i="5"/>
  <c r="H506" i="5"/>
  <c r="D134" i="5"/>
  <c r="E485" i="5"/>
  <c r="G324" i="5"/>
  <c r="C232" i="5"/>
  <c r="I16" i="5"/>
  <c r="E535" i="5"/>
  <c r="H16" i="5"/>
  <c r="F382" i="5"/>
  <c r="H526" i="5"/>
  <c r="H52" i="5"/>
  <c r="E560" i="5"/>
  <c r="D217" i="5"/>
  <c r="G422" i="5"/>
  <c r="F485" i="5"/>
  <c r="C528" i="5"/>
  <c r="G83" i="5"/>
  <c r="E416" i="5"/>
  <c r="C487" i="5"/>
  <c r="F47" i="5"/>
  <c r="G367" i="5"/>
  <c r="F457" i="5"/>
  <c r="E490" i="5"/>
  <c r="G510" i="5"/>
  <c r="F356" i="5"/>
  <c r="D90" i="5"/>
  <c r="H380" i="5"/>
  <c r="C202" i="5"/>
  <c r="H454" i="5"/>
  <c r="H552" i="5"/>
  <c r="G170" i="5"/>
  <c r="C419" i="5"/>
  <c r="T419" i="5" s="1"/>
  <c r="E499" i="5"/>
  <c r="H129" i="5"/>
  <c r="E379" i="5"/>
  <c r="G311" i="5"/>
  <c r="H158" i="5"/>
  <c r="I492" i="5"/>
  <c r="I442" i="5"/>
  <c r="G199" i="5"/>
  <c r="I556" i="5"/>
  <c r="H539" i="5"/>
  <c r="C388" i="5"/>
  <c r="E247" i="5"/>
  <c r="C179" i="5"/>
  <c r="I559" i="5"/>
  <c r="I332" i="5"/>
  <c r="D419" i="5"/>
  <c r="C545" i="5"/>
  <c r="H456" i="5"/>
  <c r="G215" i="5"/>
  <c r="E365" i="5"/>
  <c r="E43" i="5"/>
  <c r="C316" i="5"/>
  <c r="D133" i="5"/>
  <c r="G69" i="5"/>
  <c r="I258" i="5"/>
  <c r="F91" i="5"/>
  <c r="D412" i="5"/>
  <c r="I517" i="5"/>
  <c r="D520" i="5"/>
  <c r="C53" i="5"/>
  <c r="F207" i="5"/>
  <c r="I466" i="5"/>
  <c r="G373" i="5"/>
  <c r="I432" i="5"/>
  <c r="I555" i="5"/>
  <c r="G548" i="5"/>
  <c r="E193" i="5"/>
  <c r="E513" i="5"/>
  <c r="C313" i="5"/>
  <c r="C467" i="5"/>
  <c r="F544" i="5"/>
  <c r="E195" i="5"/>
  <c r="C450" i="5"/>
  <c r="F528" i="5"/>
  <c r="E528" i="5"/>
  <c r="F480" i="5"/>
  <c r="E356" i="5"/>
  <c r="D291" i="5"/>
  <c r="G473" i="5"/>
  <c r="F71" i="5"/>
  <c r="I168" i="5"/>
  <c r="F151" i="5"/>
  <c r="C468" i="5"/>
  <c r="E51" i="5"/>
  <c r="I264" i="5"/>
  <c r="H102" i="5"/>
  <c r="G421" i="5"/>
  <c r="I548" i="5"/>
  <c r="T548" i="5" s="1"/>
  <c r="G200" i="5"/>
  <c r="F389" i="5"/>
  <c r="G285" i="5"/>
  <c r="C444" i="5"/>
  <c r="H496" i="5"/>
  <c r="F179" i="5"/>
  <c r="I208" i="5"/>
  <c r="C219" i="5"/>
  <c r="E75" i="5"/>
  <c r="G197" i="5"/>
  <c r="G168" i="5"/>
  <c r="G88" i="5"/>
  <c r="E141" i="5"/>
  <c r="I262" i="5"/>
  <c r="H284" i="5"/>
  <c r="I339" i="5"/>
  <c r="H161" i="5"/>
  <c r="C465" i="5"/>
  <c r="G414" i="5"/>
  <c r="C477" i="5"/>
  <c r="H63" i="5"/>
  <c r="E557" i="5"/>
  <c r="I340" i="5"/>
  <c r="D493" i="5"/>
  <c r="D214" i="5"/>
  <c r="C455" i="5"/>
  <c r="C495" i="5"/>
  <c r="C405" i="5"/>
  <c r="I426" i="5"/>
  <c r="E28" i="5"/>
  <c r="D434" i="5"/>
  <c r="F298" i="5"/>
  <c r="H396" i="5"/>
  <c r="G501" i="5"/>
  <c r="G433" i="5"/>
  <c r="H361" i="5"/>
  <c r="H517" i="5"/>
  <c r="E471" i="5"/>
  <c r="G409" i="5"/>
  <c r="E259" i="5"/>
  <c r="D537" i="5"/>
  <c r="I528" i="5"/>
  <c r="G272" i="5"/>
  <c r="C418" i="5"/>
  <c r="C428" i="5"/>
  <c r="C458" i="5"/>
  <c r="E364" i="5"/>
  <c r="I160" i="5"/>
  <c r="E199" i="5"/>
  <c r="F513" i="5"/>
  <c r="D420" i="5"/>
  <c r="H498" i="5"/>
  <c r="G382" i="5"/>
  <c r="D329" i="5"/>
  <c r="C534" i="5"/>
  <c r="H365" i="5"/>
  <c r="D405" i="5"/>
  <c r="D307" i="5"/>
  <c r="E401" i="5"/>
  <c r="D182" i="5"/>
  <c r="F501" i="5"/>
  <c r="I99" i="5"/>
  <c r="E227" i="5"/>
  <c r="C73" i="5"/>
  <c r="E517" i="5"/>
  <c r="D183" i="5"/>
  <c r="D446" i="5"/>
  <c r="I394" i="5"/>
  <c r="H200" i="5"/>
  <c r="G323" i="5"/>
  <c r="E518" i="5"/>
  <c r="H432" i="5"/>
  <c r="C420" i="5"/>
  <c r="I367" i="5"/>
  <c r="D207" i="5"/>
  <c r="E34" i="5"/>
  <c r="I303" i="5"/>
  <c r="H116" i="5"/>
  <c r="F83" i="5"/>
  <c r="G495" i="5"/>
  <c r="G297" i="5"/>
  <c r="C409" i="5"/>
  <c r="I331" i="5"/>
  <c r="F239" i="5"/>
  <c r="C512" i="5"/>
  <c r="D350" i="5"/>
  <c r="G399" i="5"/>
  <c r="F299" i="5"/>
  <c r="C398" i="5"/>
  <c r="D178" i="5"/>
  <c r="F496" i="5"/>
  <c r="G84" i="5"/>
  <c r="C216" i="5"/>
  <c r="G541" i="5"/>
  <c r="C514" i="5"/>
  <c r="E170" i="5"/>
  <c r="C432" i="5"/>
  <c r="I372" i="5"/>
  <c r="C192" i="5"/>
  <c r="I180" i="5"/>
  <c r="E510" i="5"/>
  <c r="E411" i="5"/>
  <c r="F536" i="5"/>
  <c r="C462" i="5"/>
  <c r="H407" i="5"/>
  <c r="G112" i="5"/>
  <c r="C344" i="5"/>
  <c r="F305" i="5"/>
  <c r="G518" i="5"/>
  <c r="C525" i="5"/>
  <c r="H257" i="5"/>
  <c r="F510" i="5"/>
  <c r="C336" i="5"/>
  <c r="I459" i="5"/>
  <c r="E444" i="5"/>
  <c r="H444" i="5"/>
  <c r="G122" i="5"/>
  <c r="H431" i="5"/>
  <c r="E277" i="5"/>
  <c r="C309" i="5"/>
  <c r="E489" i="5"/>
  <c r="I100" i="5"/>
  <c r="I425" i="5"/>
  <c r="F507" i="5"/>
  <c r="G291" i="5"/>
  <c r="I50" i="5"/>
  <c r="D383" i="5"/>
  <c r="D226" i="5"/>
  <c r="G522" i="5"/>
  <c r="H149" i="5"/>
  <c r="D23" i="5"/>
  <c r="I175" i="5"/>
  <c r="F450" i="5"/>
  <c r="E226" i="5"/>
  <c r="D374" i="5"/>
  <c r="I526" i="5"/>
  <c r="C239" i="5"/>
  <c r="D216" i="5"/>
  <c r="I361" i="5"/>
  <c r="G349" i="5"/>
  <c r="F271" i="5"/>
  <c r="F346" i="5"/>
  <c r="D358" i="5"/>
  <c r="H402" i="5"/>
  <c r="H378" i="5"/>
  <c r="F506" i="5"/>
  <c r="G483" i="5"/>
  <c r="E377" i="5"/>
  <c r="E200" i="5"/>
  <c r="G536" i="5"/>
  <c r="I478" i="5"/>
  <c r="I458" i="5"/>
  <c r="E553" i="5"/>
  <c r="F423" i="5"/>
  <c r="F408" i="5"/>
  <c r="G525" i="5"/>
  <c r="F463" i="5"/>
  <c r="G550" i="5"/>
  <c r="I341" i="5"/>
  <c r="D200" i="5"/>
  <c r="E439" i="5"/>
  <c r="D530" i="5"/>
  <c r="C481" i="5"/>
  <c r="I499" i="5"/>
  <c r="F366" i="5"/>
  <c r="C456" i="5"/>
  <c r="G458" i="5"/>
  <c r="E506" i="5"/>
  <c r="H518" i="5"/>
  <c r="H230" i="5"/>
  <c r="C527" i="5"/>
  <c r="C48" i="5"/>
  <c r="C148" i="5"/>
  <c r="H392" i="5"/>
  <c r="D510" i="5"/>
  <c r="I179" i="5"/>
  <c r="C335" i="5"/>
  <c r="G462" i="5"/>
  <c r="D125" i="5"/>
  <c r="F285" i="5"/>
  <c r="D126" i="5"/>
  <c r="F386" i="5"/>
  <c r="E164" i="5"/>
  <c r="I316" i="5"/>
  <c r="T316" i="5" s="1"/>
  <c r="D373" i="5"/>
  <c r="G494" i="5"/>
  <c r="G407" i="5"/>
  <c r="C485" i="5"/>
  <c r="E48" i="5"/>
  <c r="D345" i="5"/>
  <c r="D503" i="5"/>
  <c r="F135" i="5"/>
  <c r="G384" i="5"/>
  <c r="F452" i="5"/>
  <c r="G190" i="5"/>
  <c r="E339" i="5"/>
  <c r="I457" i="5"/>
  <c r="G309" i="5"/>
  <c r="G201" i="5"/>
  <c r="D221" i="5"/>
  <c r="I246" i="5"/>
  <c r="I39" i="5"/>
  <c r="H350" i="5"/>
  <c r="E465" i="5"/>
  <c r="I554" i="5"/>
  <c r="C319" i="5"/>
  <c r="T319" i="5" s="1"/>
  <c r="D472" i="5"/>
  <c r="E24" i="5"/>
  <c r="I314" i="5"/>
  <c r="D417" i="5"/>
  <c r="G82" i="5"/>
  <c r="E255" i="5"/>
  <c r="E431" i="5"/>
  <c r="G119" i="5"/>
  <c r="F275" i="5"/>
  <c r="G65" i="5"/>
  <c r="D21" i="5"/>
  <c r="D131" i="5"/>
  <c r="G114" i="5"/>
  <c r="C337" i="5"/>
  <c r="T337" i="5" s="1"/>
  <c r="G455" i="5"/>
  <c r="F552" i="5"/>
  <c r="H304" i="5"/>
  <c r="E469" i="5"/>
  <c r="G138" i="5"/>
  <c r="I312" i="5"/>
  <c r="F410" i="5"/>
  <c r="D76" i="5"/>
  <c r="H253" i="5"/>
  <c r="H428" i="5"/>
  <c r="G116" i="5"/>
  <c r="E264" i="5"/>
  <c r="I42" i="5"/>
  <c r="C389" i="5"/>
  <c r="G335" i="5"/>
  <c r="H440" i="5"/>
  <c r="G249" i="5"/>
  <c r="G150" i="5"/>
  <c r="F323" i="5"/>
  <c r="F490" i="5"/>
  <c r="F101" i="5"/>
  <c r="D428" i="5"/>
  <c r="D243" i="5"/>
  <c r="H449" i="5"/>
  <c r="G509" i="5"/>
  <c r="H338" i="5"/>
  <c r="F42" i="5"/>
  <c r="H243" i="5"/>
  <c r="G174" i="5"/>
  <c r="I156" i="5"/>
  <c r="G312" i="5"/>
  <c r="E217" i="5"/>
  <c r="H42" i="5"/>
  <c r="D33" i="5"/>
  <c r="C274" i="5"/>
  <c r="F188" i="5"/>
  <c r="D336" i="5"/>
  <c r="I352" i="5"/>
  <c r="E323" i="5"/>
  <c r="F178" i="5"/>
  <c r="G151" i="5"/>
  <c r="C99" i="5"/>
  <c r="T99" i="5" s="1"/>
  <c r="E253" i="5"/>
  <c r="E112" i="5"/>
  <c r="C287" i="5"/>
  <c r="G141" i="5"/>
  <c r="C552" i="5"/>
  <c r="H155" i="5"/>
  <c r="I481" i="5"/>
  <c r="G380" i="5"/>
  <c r="E403" i="5"/>
  <c r="H345" i="5"/>
  <c r="F70" i="5"/>
  <c r="F199" i="5"/>
  <c r="F369" i="5"/>
  <c r="F443" i="5"/>
  <c r="E409" i="5"/>
  <c r="G500" i="5"/>
  <c r="C165" i="5"/>
  <c r="D67" i="5"/>
  <c r="I112" i="5"/>
  <c r="G290" i="5"/>
  <c r="I40" i="5"/>
  <c r="C472" i="5"/>
  <c r="C429" i="5"/>
  <c r="F437" i="5"/>
  <c r="H435" i="5"/>
  <c r="S435" i="5" s="1"/>
  <c r="H303" i="5"/>
  <c r="F471" i="5"/>
  <c r="H559" i="5"/>
  <c r="C263" i="5"/>
  <c r="F58" i="5"/>
  <c r="D96" i="5"/>
  <c r="H285" i="5"/>
  <c r="G534" i="5"/>
  <c r="C229" i="5"/>
  <c r="G369" i="5"/>
  <c r="F473" i="5"/>
  <c r="F428" i="5"/>
  <c r="H359" i="5"/>
  <c r="H69" i="5"/>
  <c r="D406" i="5"/>
  <c r="H264" i="5"/>
  <c r="H222" i="5"/>
  <c r="G316" i="5"/>
  <c r="H403" i="5"/>
  <c r="D556" i="5"/>
  <c r="G326" i="5"/>
  <c r="C447" i="5"/>
  <c r="H135" i="5"/>
  <c r="C549" i="5"/>
  <c r="I35" i="5"/>
  <c r="I412" i="5"/>
  <c r="H280" i="5"/>
  <c r="H461" i="5"/>
  <c r="C130" i="5"/>
  <c r="F494" i="5"/>
  <c r="C560" i="5"/>
  <c r="T560" i="5" s="1"/>
  <c r="H447" i="5"/>
  <c r="F464" i="5"/>
  <c r="I93" i="5"/>
  <c r="D547" i="5"/>
  <c r="I532" i="5"/>
  <c r="C307" i="5"/>
  <c r="E342" i="5"/>
  <c r="F252" i="5"/>
  <c r="H50" i="5"/>
  <c r="H146" i="5"/>
  <c r="D43" i="5"/>
  <c r="C328" i="5"/>
  <c r="G474" i="5"/>
  <c r="E531" i="5"/>
  <c r="F363" i="5"/>
  <c r="G208" i="5"/>
  <c r="E282" i="5"/>
  <c r="G557" i="5"/>
  <c r="S557" i="5" s="1"/>
  <c r="C546" i="5"/>
  <c r="F297" i="5"/>
  <c r="G434" i="5"/>
  <c r="E109" i="5"/>
  <c r="F535" i="5"/>
  <c r="G19" i="5"/>
  <c r="F371" i="5"/>
  <c r="C268" i="5"/>
  <c r="T268" i="5" s="1"/>
  <c r="E453" i="5"/>
  <c r="D554" i="5"/>
  <c r="H492" i="5"/>
  <c r="G544" i="5"/>
  <c r="E437" i="5"/>
  <c r="C461" i="5"/>
  <c r="H81" i="5"/>
  <c r="D523" i="5"/>
  <c r="G528" i="5"/>
  <c r="F277" i="5"/>
  <c r="H29" i="5"/>
  <c r="F231" i="5"/>
  <c r="E468" i="5"/>
  <c r="E550" i="5"/>
  <c r="H422" i="5"/>
  <c r="D542" i="5"/>
  <c r="C120" i="5"/>
  <c r="H468" i="5"/>
  <c r="H202" i="5"/>
  <c r="F453" i="5"/>
  <c r="H349" i="5"/>
  <c r="I380" i="5"/>
  <c r="E529" i="5"/>
  <c r="F281" i="5"/>
  <c r="H263" i="5"/>
  <c r="I368" i="5"/>
  <c r="C373" i="5"/>
  <c r="C279" i="5"/>
  <c r="I348" i="5"/>
  <c r="C369" i="5"/>
  <c r="H411" i="5"/>
  <c r="G394" i="5"/>
  <c r="D533" i="5"/>
  <c r="D489" i="5"/>
  <c r="I416" i="5"/>
  <c r="F35" i="5"/>
  <c r="I257" i="5"/>
  <c r="F348" i="5"/>
  <c r="E223" i="5"/>
  <c r="H408" i="5"/>
  <c r="D305" i="5"/>
  <c r="F319" i="5"/>
  <c r="H495" i="5"/>
  <c r="F250" i="5"/>
  <c r="I383" i="5"/>
  <c r="D443" i="5"/>
  <c r="D260" i="5"/>
  <c r="I545" i="5"/>
  <c r="I344" i="5"/>
  <c r="H273" i="5"/>
  <c r="E391" i="5"/>
  <c r="H535" i="5"/>
  <c r="G229" i="5"/>
  <c r="C508" i="5"/>
  <c r="I542" i="5"/>
  <c r="T542" i="5" s="1"/>
  <c r="I242" i="5"/>
  <c r="D222" i="5"/>
  <c r="H45" i="5"/>
  <c r="G188" i="5"/>
  <c r="H462" i="5"/>
  <c r="C334" i="5"/>
  <c r="C191" i="5"/>
  <c r="I338" i="5"/>
  <c r="D390" i="5"/>
  <c r="I530" i="5"/>
  <c r="I417" i="5"/>
  <c r="D244" i="5"/>
  <c r="H515" i="5"/>
  <c r="G443" i="5"/>
  <c r="H485" i="5"/>
  <c r="G310" i="5"/>
  <c r="D468" i="5"/>
  <c r="D387" i="5"/>
  <c r="G402" i="5"/>
  <c r="I531" i="5"/>
  <c r="C476" i="5"/>
  <c r="D368" i="5"/>
  <c r="F537" i="5"/>
  <c r="E511" i="5"/>
  <c r="H418" i="5"/>
  <c r="D360" i="5"/>
  <c r="D35" i="5"/>
  <c r="H41" i="5"/>
  <c r="C93" i="5"/>
  <c r="I293" i="5"/>
  <c r="F445" i="5"/>
  <c r="H500" i="5"/>
  <c r="D271" i="5"/>
  <c r="F419" i="5"/>
  <c r="D507" i="5"/>
  <c r="F482" i="5"/>
  <c r="H179" i="5"/>
  <c r="D220" i="5"/>
  <c r="G303" i="5"/>
  <c r="C35" i="5"/>
  <c r="F498" i="5"/>
  <c r="D506" i="5"/>
  <c r="H305" i="5"/>
  <c r="I427" i="5"/>
  <c r="E538" i="5"/>
  <c r="I291" i="5"/>
  <c r="I456" i="5"/>
  <c r="H554" i="5"/>
  <c r="G289" i="5"/>
  <c r="C397" i="5"/>
  <c r="C506" i="5"/>
  <c r="H212" i="5"/>
  <c r="G408" i="5"/>
  <c r="C306" i="5"/>
  <c r="C213" i="5"/>
  <c r="I411" i="5"/>
  <c r="H220" i="5"/>
  <c r="E559" i="5"/>
  <c r="E203" i="5"/>
  <c r="I392" i="5"/>
  <c r="H504" i="5"/>
  <c r="G226" i="5"/>
  <c r="F413" i="5"/>
  <c r="F526" i="5"/>
  <c r="E231" i="5"/>
  <c r="G366" i="5"/>
  <c r="H476" i="5"/>
  <c r="D146" i="5"/>
  <c r="D334" i="5"/>
  <c r="F235" i="5"/>
  <c r="G420" i="5"/>
  <c r="E268" i="5"/>
  <c r="D209" i="5"/>
  <c r="I271" i="5"/>
  <c r="G556" i="5"/>
  <c r="D197" i="5"/>
  <c r="E381" i="5"/>
  <c r="F500" i="5"/>
  <c r="D219" i="5"/>
  <c r="G405" i="5"/>
  <c r="C524" i="5"/>
  <c r="T524" i="5" s="1"/>
  <c r="F226" i="5"/>
  <c r="E363" i="5"/>
  <c r="E474" i="5"/>
  <c r="H143" i="5"/>
  <c r="E329" i="5"/>
  <c r="G218" i="5"/>
  <c r="E412" i="5"/>
  <c r="I51" i="5"/>
  <c r="F376" i="5"/>
  <c r="C489" i="5"/>
  <c r="H175" i="5"/>
  <c r="G123" i="5"/>
  <c r="F458" i="5"/>
  <c r="G452" i="5"/>
  <c r="C88" i="5"/>
  <c r="C210" i="5"/>
  <c r="T210" i="5" s="1"/>
  <c r="D36" i="5"/>
  <c r="E429" i="5"/>
  <c r="D504" i="5"/>
  <c r="H490" i="5"/>
  <c r="D94" i="5"/>
  <c r="E317" i="5"/>
  <c r="H172" i="5"/>
  <c r="H169" i="5"/>
  <c r="D104" i="5"/>
  <c r="G243" i="5"/>
  <c r="D113" i="5"/>
  <c r="G34" i="5"/>
  <c r="G153" i="5"/>
  <c r="G209" i="5"/>
  <c r="H35" i="5"/>
  <c r="E53" i="5"/>
  <c r="C164" i="5"/>
  <c r="I60" i="5"/>
  <c r="C42" i="5"/>
  <c r="T42" i="5" s="1"/>
  <c r="C372" i="5"/>
  <c r="T372" i="5" s="1"/>
  <c r="D346" i="5"/>
  <c r="F173" i="5"/>
  <c r="G210" i="5"/>
  <c r="F216" i="5"/>
  <c r="H446" i="5"/>
  <c r="D492" i="5"/>
  <c r="E519" i="5"/>
  <c r="I488" i="5"/>
  <c r="I451" i="5"/>
  <c r="G439" i="5"/>
  <c r="E357" i="5"/>
  <c r="C497" i="5"/>
  <c r="D265" i="5"/>
  <c r="H481" i="5"/>
  <c r="H441" i="5"/>
  <c r="I217" i="5"/>
  <c r="F412" i="5"/>
  <c r="G78" i="5"/>
  <c r="D331" i="5"/>
  <c r="I423" i="5"/>
  <c r="G196" i="5"/>
  <c r="F527" i="5"/>
  <c r="H186" i="5"/>
  <c r="C238" i="5"/>
  <c r="F279" i="5"/>
  <c r="I525" i="5"/>
  <c r="E197" i="5"/>
  <c r="G461" i="5"/>
  <c r="H489" i="5"/>
  <c r="F229" i="5"/>
  <c r="F481" i="5"/>
  <c r="H540" i="5"/>
  <c r="D480" i="5"/>
  <c r="I465" i="5"/>
  <c r="T465" i="5" s="1"/>
  <c r="C296" i="5"/>
  <c r="H189" i="5"/>
  <c r="D238" i="5"/>
  <c r="H300" i="5"/>
  <c r="C252" i="5"/>
  <c r="F403" i="5"/>
  <c r="F405" i="5"/>
  <c r="C363" i="5"/>
  <c r="H532" i="5"/>
  <c r="H493" i="5"/>
  <c r="H356" i="5"/>
  <c r="I358" i="5"/>
  <c r="F540" i="5"/>
  <c r="D532" i="5"/>
  <c r="D295" i="5"/>
  <c r="F48" i="5"/>
  <c r="H389" i="5"/>
  <c r="D481" i="5"/>
  <c r="D449" i="5"/>
  <c r="D473" i="5"/>
  <c r="E201" i="5"/>
  <c r="D435" i="5"/>
  <c r="I301" i="5"/>
  <c r="E417" i="5"/>
  <c r="H502" i="5"/>
  <c r="S502" i="5" s="1"/>
  <c r="G142" i="5"/>
  <c r="D459" i="5"/>
  <c r="G533" i="5"/>
  <c r="D235" i="5"/>
  <c r="I377" i="5"/>
  <c r="D501" i="5"/>
  <c r="G99" i="5"/>
  <c r="D534" i="5"/>
  <c r="G219" i="5"/>
  <c r="C118" i="5"/>
  <c r="D330" i="5"/>
  <c r="F390" i="5"/>
  <c r="F343" i="5"/>
  <c r="D495" i="5"/>
  <c r="C442" i="5"/>
  <c r="T442" i="5" s="1"/>
  <c r="G352" i="5"/>
  <c r="E334" i="5"/>
  <c r="E521" i="5"/>
  <c r="H529" i="5"/>
  <c r="F268" i="5"/>
  <c r="F522" i="5"/>
  <c r="D362" i="5"/>
  <c r="I469" i="5"/>
  <c r="G447" i="5"/>
  <c r="E463" i="5"/>
  <c r="E192" i="5"/>
  <c r="F433" i="5"/>
  <c r="F286" i="5"/>
  <c r="C393" i="5"/>
  <c r="G492" i="5"/>
  <c r="D115" i="5"/>
  <c r="H452" i="5"/>
  <c r="H527" i="5"/>
  <c r="H118" i="5"/>
  <c r="H419" i="5"/>
  <c r="D103" i="5"/>
  <c r="C445" i="5"/>
  <c r="G493" i="5"/>
  <c r="D136" i="5"/>
  <c r="I460" i="5"/>
  <c r="I375" i="5"/>
  <c r="H115" i="5"/>
  <c r="C502" i="5"/>
  <c r="D475" i="5"/>
  <c r="H499" i="5"/>
  <c r="F479" i="5"/>
  <c r="D328" i="5"/>
  <c r="I130" i="5"/>
  <c r="T130" i="5" s="1"/>
  <c r="I155" i="5"/>
  <c r="D283" i="5"/>
  <c r="F163" i="5"/>
  <c r="F204" i="5"/>
  <c r="E311" i="5"/>
  <c r="C284" i="5"/>
  <c r="I364" i="5"/>
  <c r="F472" i="5"/>
  <c r="I184" i="5"/>
  <c r="F310" i="5"/>
  <c r="I505" i="5"/>
  <c r="E44" i="5"/>
  <c r="H277" i="5"/>
  <c r="G516" i="5"/>
  <c r="D382" i="5"/>
  <c r="F270" i="5"/>
  <c r="G365" i="5"/>
  <c r="H217" i="5"/>
  <c r="C392" i="5"/>
  <c r="H59" i="5"/>
  <c r="H474" i="5"/>
  <c r="H53" i="5"/>
  <c r="D192" i="5"/>
  <c r="E456" i="5"/>
  <c r="C511" i="5"/>
  <c r="T511" i="5" s="1"/>
  <c r="I140" i="5"/>
  <c r="E387" i="5"/>
  <c r="F353" i="5"/>
  <c r="I173" i="5"/>
  <c r="H514" i="5"/>
  <c r="C475" i="5"/>
  <c r="T475" i="5" s="1"/>
  <c r="H337" i="5"/>
  <c r="D63" i="5"/>
  <c r="G425" i="5"/>
  <c r="E115" i="5"/>
  <c r="D384" i="5"/>
  <c r="F246" i="5"/>
  <c r="C354" i="5"/>
  <c r="D315" i="5"/>
  <c r="I123" i="5"/>
  <c r="C431" i="5"/>
  <c r="C197" i="5"/>
  <c r="E361" i="5"/>
  <c r="E522" i="5"/>
  <c r="I219" i="5"/>
  <c r="D77" i="5"/>
  <c r="I359" i="5"/>
  <c r="T359" i="5" s="1"/>
  <c r="F269" i="5"/>
  <c r="F245" i="5"/>
  <c r="H344" i="5"/>
  <c r="E338" i="5"/>
  <c r="E385" i="5"/>
  <c r="F372" i="5"/>
  <c r="C503" i="5"/>
  <c r="F469" i="5"/>
  <c r="D321" i="5"/>
  <c r="C23" i="5"/>
  <c r="H206" i="5"/>
  <c r="I422" i="5"/>
  <c r="E478" i="5"/>
  <c r="C241" i="5"/>
  <c r="I385" i="5"/>
  <c r="H483" i="5"/>
  <c r="G412" i="5"/>
  <c r="H307" i="5"/>
  <c r="E167" i="5"/>
  <c r="D140" i="5"/>
  <c r="F111" i="5"/>
  <c r="C347" i="5"/>
  <c r="E276" i="5"/>
  <c r="E221" i="5"/>
  <c r="E399" i="5"/>
  <c r="O399" i="5" s="1"/>
  <c r="G514" i="5"/>
  <c r="H247" i="5"/>
  <c r="H427" i="5"/>
  <c r="E532" i="5"/>
  <c r="G247" i="5"/>
  <c r="D371" i="5"/>
  <c r="G482" i="5"/>
  <c r="E157" i="5"/>
  <c r="D364" i="5"/>
  <c r="E248" i="5"/>
  <c r="F44" i="5"/>
  <c r="I300" i="5"/>
  <c r="D259" i="5"/>
  <c r="I539" i="5"/>
  <c r="D106" i="5"/>
  <c r="I335" i="5"/>
  <c r="T335" i="5" s="1"/>
  <c r="H473" i="5"/>
  <c r="H157" i="5"/>
  <c r="F379" i="5"/>
  <c r="E500" i="5"/>
  <c r="F157" i="5"/>
  <c r="G317" i="5"/>
  <c r="E454" i="5"/>
  <c r="I113" i="5"/>
  <c r="C244" i="5"/>
  <c r="I25" i="5"/>
  <c r="G353" i="5"/>
  <c r="I110" i="5"/>
  <c r="G248" i="5"/>
  <c r="H524" i="5"/>
  <c r="I536" i="5"/>
  <c r="F37" i="5"/>
  <c r="H333" i="5"/>
  <c r="G459" i="5"/>
  <c r="F147" i="5"/>
  <c r="F377" i="5"/>
  <c r="C496" i="5"/>
  <c r="E147" i="5"/>
  <c r="G315" i="5"/>
  <c r="I450" i="5"/>
  <c r="T450" i="5" s="1"/>
  <c r="D110" i="5"/>
  <c r="I230" i="5"/>
  <c r="D20" i="5"/>
  <c r="D335" i="5"/>
  <c r="H126" i="5"/>
  <c r="H497" i="5"/>
  <c r="H163" i="5"/>
  <c r="E367" i="5"/>
  <c r="H73" i="5"/>
  <c r="G549" i="5"/>
  <c r="H214" i="5"/>
  <c r="E348" i="5"/>
  <c r="E172" i="5"/>
  <c r="I529" i="5"/>
  <c r="C95" i="5"/>
  <c r="F308" i="5"/>
  <c r="G304" i="5"/>
  <c r="S304" i="5" s="1"/>
  <c r="I347" i="5"/>
  <c r="C290" i="5"/>
  <c r="H334" i="5"/>
  <c r="F347" i="5"/>
  <c r="C304" i="5"/>
  <c r="C253" i="5"/>
  <c r="F306" i="5"/>
  <c r="D279" i="5"/>
  <c r="E257" i="5"/>
  <c r="C167" i="5"/>
  <c r="F258" i="5"/>
  <c r="D423" i="5"/>
  <c r="H393" i="5"/>
  <c r="C414" i="5"/>
  <c r="T414" i="5" s="1"/>
  <c r="G36" i="5"/>
  <c r="F233" i="5"/>
  <c r="G207" i="5"/>
  <c r="C79" i="5"/>
  <c r="I193" i="5"/>
  <c r="E376" i="5"/>
  <c r="C421" i="5"/>
  <c r="D210" i="5"/>
  <c r="I161" i="5"/>
  <c r="C553" i="5"/>
  <c r="T553" i="5" s="1"/>
  <c r="D546" i="5"/>
  <c r="F542" i="5"/>
  <c r="C422" i="5"/>
  <c r="H436" i="5"/>
  <c r="I324" i="5"/>
  <c r="C474" i="5"/>
  <c r="E556" i="5"/>
  <c r="P556" i="5" s="1"/>
  <c r="I272" i="5"/>
  <c r="C260" i="5"/>
  <c r="D433" i="5"/>
  <c r="C448" i="5"/>
  <c r="C315" i="5"/>
  <c r="G554" i="5"/>
  <c r="D377" i="5"/>
  <c r="H193" i="5"/>
  <c r="E428" i="5"/>
  <c r="F548" i="5"/>
  <c r="E166" i="5"/>
  <c r="F342" i="5"/>
  <c r="D491" i="5"/>
  <c r="E106" i="5"/>
  <c r="C360" i="5"/>
  <c r="D281" i="5"/>
  <c r="G155" i="5"/>
  <c r="S155" i="5" s="1"/>
  <c r="F461" i="5"/>
  <c r="F424" i="5"/>
  <c r="E150" i="5"/>
  <c r="F550" i="5"/>
  <c r="C417" i="5"/>
  <c r="H340" i="5"/>
  <c r="E504" i="5"/>
  <c r="D426" i="5"/>
  <c r="D521" i="5"/>
  <c r="C464" i="5"/>
  <c r="F242" i="5"/>
  <c r="E502" i="5"/>
  <c r="D431" i="5"/>
  <c r="E505" i="5"/>
  <c r="F223" i="5"/>
  <c r="I406" i="5"/>
  <c r="H537" i="5"/>
  <c r="F470" i="5"/>
  <c r="E515" i="5"/>
  <c r="C457" i="5"/>
  <c r="E516" i="5"/>
  <c r="I420" i="5"/>
  <c r="T420" i="5" s="1"/>
  <c r="D413" i="5"/>
  <c r="H279" i="5"/>
  <c r="F517" i="5"/>
  <c r="C385" i="5"/>
  <c r="C193" i="5"/>
  <c r="T193" i="5" s="1"/>
  <c r="F558" i="5"/>
  <c r="I445" i="5"/>
  <c r="E408" i="5"/>
  <c r="D232" i="5"/>
  <c r="G333" i="5"/>
  <c r="I288" i="5"/>
  <c r="E47" i="5"/>
  <c r="H528" i="5"/>
  <c r="E222" i="5"/>
  <c r="C283" i="5"/>
  <c r="C415" i="5"/>
  <c r="F518" i="5"/>
  <c r="D445" i="5"/>
  <c r="E234" i="5"/>
  <c r="D490" i="5"/>
  <c r="C425" i="5"/>
  <c r="T425" i="5" s="1"/>
  <c r="D477" i="5"/>
  <c r="C200" i="5"/>
  <c r="E388" i="5"/>
  <c r="D535" i="5"/>
  <c r="G465" i="5"/>
  <c r="S465" i="5" s="1"/>
  <c r="D505" i="5"/>
  <c r="E443" i="5"/>
  <c r="C505" i="5"/>
  <c r="T505" i="5" s="1"/>
  <c r="I409" i="5"/>
  <c r="G411" i="5"/>
  <c r="C246" i="5"/>
  <c r="T246" i="5" s="1"/>
  <c r="C516" i="5"/>
  <c r="T516" i="5" s="1"/>
  <c r="G376" i="5"/>
  <c r="C153" i="5"/>
  <c r="I552" i="5"/>
  <c r="D442" i="5"/>
  <c r="F387" i="5"/>
  <c r="H209" i="5"/>
  <c r="F276" i="5"/>
  <c r="E211" i="5"/>
  <c r="C556" i="5"/>
  <c r="T556" i="5" s="1"/>
  <c r="E298" i="5"/>
  <c r="I127" i="5"/>
  <c r="E181" i="5"/>
  <c r="E347" i="5"/>
  <c r="C507" i="5"/>
  <c r="C255" i="5"/>
  <c r="F418" i="5"/>
  <c r="E445" i="5"/>
  <c r="D264" i="5"/>
  <c r="H18" i="5"/>
  <c r="F355" i="5"/>
  <c r="E283" i="5"/>
  <c r="I402" i="5"/>
  <c r="H542" i="5"/>
  <c r="C248" i="5"/>
  <c r="C526" i="5"/>
  <c r="T526" i="5" s="1"/>
  <c r="C551" i="5"/>
  <c r="H250" i="5"/>
  <c r="H301" i="5"/>
  <c r="D56" i="5"/>
  <c r="G223" i="5"/>
  <c r="F326" i="5"/>
  <c r="I354" i="5"/>
  <c r="F212" i="5"/>
  <c r="G513" i="5"/>
  <c r="D555" i="5"/>
  <c r="G530" i="5"/>
  <c r="H455" i="5"/>
  <c r="C438" i="5"/>
  <c r="D206" i="5"/>
  <c r="H448" i="5"/>
  <c r="I334" i="5"/>
  <c r="I520" i="5"/>
  <c r="F351" i="5"/>
  <c r="E509" i="5"/>
  <c r="D284" i="5"/>
  <c r="E190" i="5"/>
  <c r="F474" i="5"/>
  <c r="C29" i="5"/>
  <c r="G204" i="5"/>
  <c r="E541" i="5"/>
  <c r="C68" i="5"/>
  <c r="I535" i="5"/>
  <c r="E343" i="5"/>
  <c r="F455" i="5"/>
  <c r="G319" i="5"/>
  <c r="E473" i="5"/>
  <c r="P473" i="5" s="1"/>
  <c r="C515" i="5"/>
  <c r="T515" i="5" s="1"/>
  <c r="I495" i="5"/>
  <c r="G537" i="5"/>
  <c r="H239" i="5"/>
  <c r="E414" i="5"/>
  <c r="G270" i="5"/>
  <c r="E307" i="5"/>
  <c r="E86" i="5"/>
  <c r="G485" i="5"/>
  <c r="G453" i="5"/>
  <c r="D463" i="5"/>
  <c r="D466" i="5"/>
  <c r="H313" i="5"/>
  <c r="D540" i="5"/>
  <c r="E534" i="5"/>
  <c r="E271" i="5"/>
  <c r="F93" i="5"/>
  <c r="C152" i="5"/>
  <c r="F293" i="5"/>
  <c r="H204" i="5"/>
  <c r="I308" i="5"/>
  <c r="G418" i="5"/>
  <c r="G133" i="5"/>
  <c r="F145" i="5"/>
  <c r="G387" i="5"/>
  <c r="I454" i="5"/>
  <c r="H192" i="5"/>
  <c r="G344" i="5"/>
  <c r="S344" i="5" s="1"/>
  <c r="E461" i="5"/>
  <c r="G337" i="5"/>
  <c r="F218" i="5"/>
  <c r="F20" i="5"/>
  <c r="E250" i="5"/>
  <c r="D41" i="5"/>
  <c r="F22" i="5"/>
  <c r="G542" i="5"/>
  <c r="G136" i="5"/>
  <c r="D355" i="5"/>
  <c r="F476" i="5"/>
  <c r="F167" i="5"/>
  <c r="D386" i="5"/>
  <c r="I508" i="5"/>
  <c r="G163" i="5"/>
  <c r="F333" i="5"/>
  <c r="D460" i="5"/>
  <c r="D122" i="5"/>
  <c r="D268" i="5"/>
  <c r="C108" i="5"/>
  <c r="C376" i="5"/>
  <c r="D160" i="5"/>
  <c r="C312" i="5"/>
  <c r="F521" i="5"/>
  <c r="E551" i="5"/>
  <c r="G276" i="5"/>
  <c r="D441" i="5"/>
  <c r="E27" i="5"/>
  <c r="E331" i="5"/>
  <c r="I463" i="5"/>
  <c r="I514" i="5"/>
  <c r="I295" i="5"/>
  <c r="C430" i="5"/>
  <c r="D66" i="5"/>
  <c r="G39" i="5"/>
  <c r="E225" i="5"/>
  <c r="C276" i="5"/>
  <c r="G379" i="5"/>
  <c r="C55" i="5"/>
  <c r="C294" i="5"/>
  <c r="I515" i="5"/>
  <c r="I547" i="5"/>
  <c r="F261" i="5"/>
  <c r="I439" i="5"/>
  <c r="T439" i="5" s="1"/>
  <c r="F24" i="5"/>
  <c r="H329" i="5"/>
  <c r="D455" i="5"/>
  <c r="F512" i="5"/>
  <c r="C286" i="5"/>
  <c r="C426" i="5"/>
  <c r="T426" i="5" s="1"/>
  <c r="I57" i="5"/>
  <c r="D514" i="5"/>
  <c r="C215" i="5"/>
  <c r="H267" i="5"/>
  <c r="H159" i="5"/>
  <c r="E479" i="5"/>
  <c r="G85" i="5"/>
  <c r="C297" i="5"/>
  <c r="H174" i="5"/>
  <c r="C531" i="5"/>
  <c r="G98" i="5"/>
  <c r="I311" i="5"/>
  <c r="F309" i="5"/>
  <c r="C494" i="5"/>
  <c r="F559" i="5"/>
  <c r="C273" i="5"/>
  <c r="G183" i="5"/>
  <c r="H316" i="5"/>
  <c r="F256" i="5"/>
  <c r="H310" i="5"/>
  <c r="G281" i="5"/>
  <c r="D270" i="5"/>
  <c r="G203" i="5"/>
  <c r="D278" i="5"/>
  <c r="F214" i="5"/>
  <c r="I222" i="5"/>
  <c r="E110" i="5"/>
  <c r="G222" i="5"/>
  <c r="D367" i="5"/>
  <c r="C311" i="5"/>
  <c r="T311" i="5" s="1"/>
  <c r="F365" i="5"/>
  <c r="F213" i="5"/>
  <c r="G185" i="5"/>
  <c r="E165" i="5"/>
  <c r="I29" i="5"/>
  <c r="H140" i="5"/>
  <c r="D208" i="5"/>
  <c r="C228" i="5"/>
  <c r="D543" i="5"/>
  <c r="H556" i="5"/>
  <c r="H530" i="5"/>
  <c r="F439" i="5"/>
  <c r="G336" i="5"/>
  <c r="I443" i="5"/>
  <c r="G498" i="5"/>
  <c r="D310" i="5"/>
  <c r="E492" i="5"/>
  <c r="I455" i="5"/>
  <c r="E372" i="5"/>
  <c r="F523" i="5"/>
  <c r="H478" i="5"/>
  <c r="C226" i="5"/>
  <c r="G97" i="5"/>
  <c r="E56" i="5"/>
  <c r="E421" i="5"/>
  <c r="D317" i="5"/>
  <c r="G471" i="5"/>
  <c r="E177" i="5"/>
  <c r="C501" i="5"/>
  <c r="I225" i="5"/>
  <c r="G479" i="5"/>
  <c r="D469" i="5"/>
  <c r="C214" i="5"/>
  <c r="H555" i="5"/>
  <c r="F538" i="5"/>
  <c r="F33" i="5"/>
  <c r="G484" i="5"/>
  <c r="G295" i="5"/>
  <c r="F349" i="5"/>
  <c r="C423" i="5"/>
  <c r="G235" i="5"/>
  <c r="F417" i="5"/>
  <c r="I125" i="5"/>
  <c r="I534" i="5"/>
  <c r="G393" i="5"/>
  <c r="F350" i="5"/>
  <c r="I503" i="5"/>
  <c r="C539" i="5"/>
  <c r="H290" i="5"/>
  <c r="C416" i="5"/>
  <c r="C535" i="5"/>
  <c r="G391" i="5"/>
  <c r="I471" i="5"/>
  <c r="E393" i="5"/>
  <c r="G395" i="5"/>
  <c r="C538" i="5"/>
  <c r="T538" i="5" s="1"/>
  <c r="C377" i="5"/>
  <c r="E279" i="5"/>
  <c r="C381" i="5"/>
  <c r="G426" i="5"/>
  <c r="D385" i="5"/>
  <c r="G357" i="5"/>
  <c r="G406" i="5"/>
  <c r="I440" i="5"/>
  <c r="C400" i="5"/>
  <c r="E547" i="5"/>
  <c r="D513" i="5"/>
  <c r="F466" i="5"/>
  <c r="E382" i="5"/>
  <c r="G419" i="5"/>
  <c r="D342" i="5"/>
  <c r="E314" i="5"/>
  <c r="F25" i="5"/>
  <c r="D551" i="5"/>
  <c r="H382" i="5"/>
  <c r="I239" i="5"/>
  <c r="T239" i="5" s="1"/>
  <c r="C411" i="5"/>
  <c r="T411" i="5" s="1"/>
  <c r="I533" i="5"/>
  <c r="G286" i="5"/>
  <c r="C275" i="5"/>
  <c r="G503" i="5"/>
  <c r="E305" i="5"/>
  <c r="I468" i="5"/>
  <c r="F352" i="5"/>
  <c r="H386" i="5"/>
  <c r="E536" i="5"/>
  <c r="C326" i="5"/>
  <c r="G271" i="5"/>
  <c r="S271" i="5" s="1"/>
  <c r="I374" i="5"/>
  <c r="D393" i="5"/>
  <c r="I320" i="5"/>
  <c r="E355" i="5"/>
  <c r="Q355" i="5" s="1"/>
  <c r="C375" i="5"/>
  <c r="T375" i="5" s="1"/>
  <c r="G415" i="5"/>
  <c r="E398" i="5"/>
  <c r="C536" i="5"/>
  <c r="G507" i="5"/>
  <c r="C441" i="5"/>
  <c r="T441" i="5" s="1"/>
  <c r="E275" i="5"/>
  <c r="I292" i="5"/>
  <c r="D478" i="5"/>
  <c r="C532" i="5"/>
  <c r="H561" i="5"/>
  <c r="G508" i="5"/>
  <c r="S508" i="5" s="1"/>
  <c r="I287" i="5"/>
  <c r="C396" i="5"/>
  <c r="E284" i="5"/>
  <c r="F395" i="5"/>
  <c r="E128" i="5"/>
  <c r="C488" i="5"/>
  <c r="T488" i="5" s="1"/>
  <c r="F61" i="5"/>
  <c r="D195" i="5"/>
  <c r="H484" i="5"/>
  <c r="H512" i="5"/>
  <c r="E144" i="5"/>
  <c r="G389" i="5"/>
  <c r="I363" i="5"/>
  <c r="E186" i="5"/>
  <c r="C107" i="5"/>
  <c r="E486" i="5"/>
  <c r="C383" i="5"/>
  <c r="H516" i="5"/>
  <c r="C522" i="5"/>
  <c r="D522" i="5"/>
  <c r="I116" i="5"/>
  <c r="F407" i="5"/>
  <c r="C185" i="5"/>
  <c r="D32" i="5"/>
  <c r="E482" i="5"/>
  <c r="C555" i="5"/>
  <c r="F345" i="5"/>
  <c r="G217" i="5"/>
  <c r="S217" i="5" s="1"/>
  <c r="C443" i="5"/>
  <c r="T443" i="5" s="1"/>
  <c r="F534" i="5"/>
  <c r="F489" i="5"/>
  <c r="D508" i="5"/>
  <c r="I396" i="5"/>
  <c r="H457" i="5"/>
  <c r="I476" i="5"/>
  <c r="H509" i="5"/>
  <c r="C520" i="5"/>
  <c r="T520" i="5" s="1"/>
  <c r="E241" i="5"/>
  <c r="D541" i="5"/>
  <c r="I163" i="5"/>
  <c r="C289" i="5"/>
  <c r="E487" i="5"/>
  <c r="G428" i="5"/>
  <c r="D529" i="5"/>
  <c r="D300" i="5"/>
  <c r="H83" i="5"/>
  <c r="H501" i="5"/>
  <c r="D267" i="5"/>
  <c r="I448" i="5"/>
  <c r="G132" i="5"/>
  <c r="G371" i="5"/>
  <c r="S371" i="5" s="1"/>
  <c r="I434" i="5"/>
  <c r="I241" i="5"/>
  <c r="T241" i="5" s="1"/>
  <c r="E537" i="5"/>
  <c r="H325" i="5"/>
  <c r="H258" i="5"/>
  <c r="G351" i="5"/>
  <c r="F531" i="5"/>
  <c r="D227" i="5"/>
  <c r="G491" i="5"/>
  <c r="E527" i="5"/>
  <c r="P527" i="5" s="1"/>
  <c r="G240" i="5"/>
  <c r="H145" i="5"/>
  <c r="H553" i="5"/>
  <c r="E91" i="5"/>
  <c r="C482" i="5"/>
  <c r="C62" i="5"/>
  <c r="T62" i="5" s="1"/>
  <c r="D327" i="5"/>
  <c r="H430" i="5"/>
  <c r="I120" i="5"/>
  <c r="G266" i="5"/>
  <c r="I437" i="5"/>
  <c r="D198" i="5"/>
  <c r="D39" i="5"/>
  <c r="G124" i="5"/>
  <c r="F130" i="5"/>
  <c r="H80" i="5"/>
  <c r="F385" i="5"/>
  <c r="H525" i="5"/>
  <c r="G31" i="5"/>
  <c r="H306" i="5"/>
  <c r="G445" i="5"/>
  <c r="C45" i="5"/>
  <c r="D337" i="5"/>
  <c r="E476" i="5"/>
  <c r="F64" i="5"/>
  <c r="F301" i="5"/>
  <c r="G436" i="5"/>
  <c r="S436" i="5" s="1"/>
  <c r="C78" i="5"/>
  <c r="I119" i="5"/>
  <c r="C240" i="5"/>
  <c r="D297" i="5"/>
  <c r="E402" i="5"/>
  <c r="E148" i="5"/>
  <c r="H482" i="5"/>
  <c r="I527" i="5"/>
  <c r="C209" i="5"/>
  <c r="G413" i="5"/>
  <c r="H547" i="5"/>
  <c r="G265" i="5"/>
  <c r="H439" i="5"/>
  <c r="F492" i="5"/>
  <c r="C256" i="5"/>
  <c r="G404" i="5"/>
  <c r="I497" i="5"/>
  <c r="C460" i="5"/>
  <c r="C116" i="5"/>
  <c r="D203" i="5"/>
  <c r="C271" i="5"/>
  <c r="T271" i="5" s="1"/>
  <c r="C121" i="5"/>
  <c r="D476" i="5"/>
  <c r="G472" i="5"/>
  <c r="F525" i="5"/>
  <c r="G193" i="5"/>
  <c r="E410" i="5"/>
  <c r="E545" i="5"/>
  <c r="D263" i="5"/>
  <c r="F438" i="5"/>
  <c r="C490" i="5"/>
  <c r="E254" i="5"/>
  <c r="D403" i="5"/>
  <c r="F495" i="5"/>
  <c r="G456" i="5"/>
  <c r="C76" i="5"/>
  <c r="C195" i="5"/>
  <c r="T195" i="5" s="1"/>
  <c r="D395" i="5"/>
  <c r="C69" i="5"/>
  <c r="E397" i="5"/>
  <c r="G469" i="5"/>
  <c r="G338" i="5"/>
  <c r="D186" i="5"/>
  <c r="I395" i="5"/>
  <c r="F468" i="5"/>
  <c r="D398" i="5"/>
  <c r="H88" i="5"/>
  <c r="I360" i="5"/>
  <c r="G442" i="5"/>
  <c r="D311" i="5"/>
  <c r="I464" i="5"/>
  <c r="T464" i="5" s="1"/>
  <c r="H197" i="5"/>
  <c r="C434" i="5"/>
  <c r="T434" i="5" s="1"/>
  <c r="I62" i="5"/>
  <c r="C440" i="5"/>
  <c r="I131" i="5"/>
  <c r="D408" i="5"/>
  <c r="F171" i="5"/>
  <c r="I401" i="5"/>
  <c r="T401" i="5" s="1"/>
  <c r="I428" i="5"/>
  <c r="T428" i="5" s="1"/>
  <c r="E375" i="5"/>
  <c r="I86" i="5"/>
  <c r="C424" i="5"/>
  <c r="C178" i="5"/>
  <c r="G70" i="5"/>
  <c r="H44" i="5"/>
  <c r="I18" i="5"/>
  <c r="F54" i="5"/>
  <c r="F185" i="5"/>
  <c r="D407" i="5"/>
  <c r="F547" i="5"/>
  <c r="C410" i="5"/>
  <c r="G440" i="5"/>
  <c r="F553" i="5"/>
  <c r="C436" i="5"/>
  <c r="T436" i="5" s="1"/>
  <c r="E136" i="5"/>
  <c r="G515" i="5"/>
  <c r="S515" i="5" s="1"/>
  <c r="D112" i="5"/>
  <c r="G470" i="5"/>
  <c r="H434" i="5"/>
  <c r="H410" i="5"/>
  <c r="I537" i="5"/>
  <c r="G284" i="5"/>
  <c r="G401" i="5"/>
  <c r="G388" i="5"/>
  <c r="I540" i="5"/>
  <c r="D539" i="5"/>
  <c r="E303" i="5"/>
  <c r="I105" i="5"/>
  <c r="H426" i="5"/>
  <c r="F509" i="5"/>
  <c r="H469" i="5"/>
  <c r="S469" i="5" s="1"/>
  <c r="D483" i="5"/>
  <c r="E243" i="5"/>
  <c r="I452" i="5"/>
  <c r="F375" i="5"/>
  <c r="H464" i="5"/>
  <c r="H507" i="5"/>
  <c r="F196" i="5"/>
  <c r="C491" i="5"/>
  <c r="C557" i="5"/>
  <c r="T557" i="5" s="1"/>
  <c r="I238" i="5"/>
  <c r="H550" i="5"/>
  <c r="I479" i="5"/>
  <c r="G558" i="5"/>
  <c r="H156" i="5"/>
  <c r="H289" i="5"/>
  <c r="F393" i="5"/>
  <c r="I321" i="5"/>
  <c r="D462" i="5"/>
  <c r="D559" i="5"/>
  <c r="G375" i="5"/>
  <c r="D181" i="5"/>
  <c r="G237" i="5"/>
  <c r="E507" i="5"/>
  <c r="Q507" i="5" s="1"/>
  <c r="C390" i="5"/>
  <c r="T390" i="5" s="1"/>
  <c r="H165" i="5"/>
  <c r="I519" i="5"/>
  <c r="I493" i="5"/>
  <c r="E530" i="5"/>
  <c r="I549" i="5"/>
  <c r="E335" i="5"/>
  <c r="G167" i="5"/>
  <c r="G180" i="5"/>
  <c r="D320" i="5"/>
  <c r="D241" i="5"/>
  <c r="I248" i="5"/>
  <c r="G330" i="5"/>
  <c r="I353" i="5"/>
  <c r="F402" i="5"/>
  <c r="D27" i="5"/>
  <c r="I67" i="5"/>
  <c r="G175" i="5"/>
  <c r="S175" i="5" s="1"/>
  <c r="E289" i="5"/>
  <c r="D453" i="5"/>
  <c r="I415" i="5"/>
  <c r="G504" i="5"/>
  <c r="E67" i="5"/>
  <c r="H543" i="5"/>
  <c r="S543" i="5" s="1"/>
  <c r="F290" i="5"/>
  <c r="D536" i="5"/>
  <c r="Q536" i="5" s="1"/>
  <c r="F560" i="5"/>
  <c r="D37" i="5"/>
  <c r="H194" i="5"/>
  <c r="I498" i="5"/>
  <c r="C386" i="5"/>
  <c r="F120" i="5"/>
  <c r="D515" i="5"/>
  <c r="F477" i="5"/>
  <c r="Q477" i="5" s="1"/>
  <c r="F511" i="5"/>
  <c r="H545" i="5"/>
  <c r="H330" i="5"/>
  <c r="H148" i="5"/>
  <c r="H166" i="5"/>
  <c r="D288" i="5"/>
  <c r="F190" i="5"/>
  <c r="G213" i="5"/>
  <c r="G313" i="5"/>
  <c r="E296" i="5"/>
  <c r="E394" i="5"/>
  <c r="I494" i="5"/>
  <c r="H130" i="5"/>
  <c r="H321" i="5"/>
  <c r="H521" i="5"/>
  <c r="H544" i="5"/>
  <c r="S544" i="5" s="1"/>
  <c r="F220" i="5"/>
  <c r="G244" i="5"/>
  <c r="G561" i="5"/>
  <c r="I231" i="5"/>
  <c r="E475" i="5"/>
  <c r="F338" i="5"/>
  <c r="D526" i="5"/>
  <c r="H398" i="5"/>
  <c r="I518" i="5"/>
  <c r="E29" i="5"/>
  <c r="E216" i="5"/>
  <c r="C479" i="5"/>
  <c r="H37" i="5"/>
  <c r="C233" i="5"/>
  <c r="G545" i="5"/>
  <c r="C80" i="5"/>
  <c r="E137" i="5"/>
  <c r="C353" i="5"/>
  <c r="T353" i="5" s="1"/>
  <c r="I477" i="5"/>
  <c r="T477" i="5" s="1"/>
  <c r="F425" i="5"/>
  <c r="F148" i="5"/>
  <c r="H360" i="5"/>
  <c r="E526" i="5"/>
  <c r="I461" i="5"/>
  <c r="I421" i="5"/>
  <c r="D275" i="5"/>
  <c r="C509" i="5"/>
  <c r="H522" i="5"/>
  <c r="I234" i="5"/>
  <c r="H488" i="5"/>
  <c r="S488" i="5" s="1"/>
  <c r="F184" i="5"/>
  <c r="E449" i="5"/>
  <c r="E442" i="5"/>
  <c r="G385" i="5"/>
  <c r="I80" i="5"/>
  <c r="C413" i="5"/>
  <c r="I261" i="5"/>
  <c r="I298" i="5"/>
  <c r="I485" i="5"/>
  <c r="T485" i="5" s="1"/>
  <c r="I85" i="5"/>
  <c r="S85" i="5" s="1"/>
  <c r="D396" i="5"/>
  <c r="I501" i="5"/>
  <c r="G181" i="5"/>
  <c r="C484" i="5"/>
  <c r="E369" i="5"/>
  <c r="I544" i="5"/>
  <c r="H112" i="5"/>
  <c r="S112" i="5" s="1"/>
  <c r="G468" i="5"/>
  <c r="S468" i="5" s="1"/>
  <c r="D519" i="5"/>
  <c r="G343" i="5"/>
  <c r="H551" i="5"/>
  <c r="E362" i="5"/>
  <c r="G149" i="5"/>
  <c r="G386" i="5"/>
  <c r="E233" i="5"/>
  <c r="E466" i="5"/>
  <c r="R466" i="5" s="1"/>
  <c r="C554" i="5"/>
  <c r="F186" i="5"/>
  <c r="I447" i="5"/>
  <c r="T447" i="5" s="1"/>
  <c r="I507" i="5"/>
  <c r="C133" i="5"/>
  <c r="F383" i="5"/>
  <c r="D340" i="5"/>
  <c r="G162" i="5"/>
  <c r="D498" i="5"/>
  <c r="I449" i="5"/>
  <c r="F257" i="5"/>
  <c r="D458" i="5"/>
  <c r="D558" i="5"/>
  <c r="E291" i="5"/>
  <c r="F398" i="5"/>
  <c r="F508" i="5"/>
  <c r="G232" i="5"/>
  <c r="D415" i="5"/>
  <c r="H320" i="5"/>
  <c r="C220" i="5"/>
  <c r="E415" i="5"/>
  <c r="E224" i="5"/>
  <c r="D127" i="5"/>
  <c r="E561" i="5"/>
  <c r="R561" i="5" s="1"/>
  <c r="F487" i="5"/>
  <c r="H533" i="5"/>
  <c r="F224" i="5"/>
  <c r="E418" i="5"/>
  <c r="G553" i="5"/>
  <c r="G287" i="5"/>
  <c r="H442" i="5"/>
  <c r="S442" i="5" s="1"/>
  <c r="E498" i="5"/>
  <c r="C267" i="5"/>
  <c r="H412" i="5"/>
  <c r="H503" i="5"/>
  <c r="C480" i="5"/>
  <c r="I154" i="5"/>
  <c r="G214" i="5"/>
  <c r="E299" i="5"/>
  <c r="E17" i="5"/>
  <c r="F440" i="5"/>
  <c r="E503" i="5"/>
  <c r="C111" i="5"/>
  <c r="G377" i="5"/>
  <c r="E525" i="5"/>
  <c r="D185" i="5"/>
  <c r="D410" i="5"/>
  <c r="C470" i="5"/>
  <c r="T470" i="5" s="1"/>
  <c r="G221" i="5"/>
  <c r="I381" i="5"/>
  <c r="F475" i="5"/>
  <c r="F392" i="5"/>
  <c r="G283" i="5"/>
  <c r="D123" i="5"/>
  <c r="F23" i="5"/>
  <c r="F182" i="5"/>
  <c r="O182" i="5" s="1"/>
  <c r="D26" i="5"/>
  <c r="I438" i="5"/>
  <c r="C499" i="5"/>
  <c r="T499" i="5" s="1"/>
  <c r="H85" i="5"/>
  <c r="D370" i="5"/>
  <c r="I521" i="5"/>
  <c r="I176" i="5"/>
  <c r="H400" i="5"/>
  <c r="G466" i="5"/>
  <c r="H213" i="5"/>
  <c r="I373" i="5"/>
  <c r="C473" i="5"/>
  <c r="F381" i="5"/>
  <c r="H278" i="5"/>
  <c r="F107" i="5"/>
  <c r="F321" i="5"/>
  <c r="P321" i="5" s="1"/>
  <c r="C18" i="5"/>
  <c r="G362" i="5"/>
  <c r="D447" i="5"/>
  <c r="E127" i="5"/>
  <c r="D92" i="5"/>
  <c r="H366" i="5"/>
  <c r="C446" i="5"/>
  <c r="T446" i="5" s="1"/>
  <c r="C321" i="5"/>
  <c r="T321" i="5" s="1"/>
  <c r="G539" i="5"/>
  <c r="E302" i="5"/>
  <c r="H420" i="5"/>
  <c r="E236" i="5"/>
  <c r="F442" i="5"/>
  <c r="F134" i="5"/>
  <c r="G410" i="5"/>
  <c r="C174" i="5"/>
  <c r="I405" i="5"/>
  <c r="C52" i="5"/>
  <c r="H384" i="5"/>
  <c r="I70" i="5"/>
  <c r="F370" i="5"/>
  <c r="F406" i="5"/>
  <c r="D354" i="5"/>
  <c r="C404" i="5"/>
  <c r="T404" i="5" s="1"/>
  <c r="I378" i="5"/>
  <c r="C21" i="5"/>
  <c r="H24" i="5"/>
  <c r="C110" i="5"/>
  <c r="D84" i="5"/>
  <c r="F165" i="5"/>
  <c r="I129" i="5"/>
  <c r="C357" i="5"/>
  <c r="H185" i="5"/>
  <c r="C529" i="5"/>
  <c r="E103" i="5"/>
  <c r="F332" i="5"/>
  <c r="E451" i="5"/>
  <c r="C550" i="5"/>
  <c r="T550" i="5" s="1"/>
  <c r="G302" i="5"/>
  <c r="D465" i="5"/>
  <c r="Q465" i="5" s="1"/>
  <c r="H98" i="5"/>
  <c r="E308" i="5"/>
  <c r="I407" i="5"/>
  <c r="F67" i="5"/>
  <c r="H249" i="5"/>
  <c r="E427" i="5"/>
  <c r="Q427" i="5" s="1"/>
  <c r="G47" i="5"/>
  <c r="I254" i="5"/>
  <c r="F40" i="5"/>
  <c r="C338" i="5"/>
  <c r="F39" i="5"/>
  <c r="C251" i="5"/>
  <c r="D499" i="5"/>
  <c r="C543" i="5"/>
  <c r="T543" i="5" s="1"/>
  <c r="E245" i="5"/>
  <c r="E432" i="5"/>
  <c r="I561" i="5"/>
  <c r="G306" i="5"/>
  <c r="C451" i="5"/>
  <c r="T451" i="5" s="1"/>
  <c r="G506" i="5"/>
  <c r="H276" i="5"/>
  <c r="E423" i="5"/>
  <c r="C513" i="5"/>
  <c r="T513" i="5" s="1"/>
  <c r="F502" i="5"/>
  <c r="O502" i="5" s="1"/>
  <c r="I197" i="5"/>
  <c r="D239" i="5"/>
  <c r="C340" i="5"/>
  <c r="I95" i="5"/>
  <c r="I462" i="5"/>
  <c r="D517" i="5"/>
  <c r="G145" i="5"/>
  <c r="F397" i="5"/>
  <c r="C537" i="5"/>
  <c r="E214" i="5"/>
  <c r="E424" i="5"/>
  <c r="H480" i="5"/>
  <c r="I244" i="5"/>
  <c r="D391" i="5"/>
  <c r="D487" i="5"/>
  <c r="Q487" i="5" s="1"/>
  <c r="G432" i="5"/>
  <c r="S432" i="5" s="1"/>
  <c r="I318" i="5"/>
  <c r="G171" i="5"/>
  <c r="D215" i="5"/>
  <c r="I182" i="5"/>
  <c r="I281" i="5"/>
  <c r="D411" i="5"/>
  <c r="F317" i="5"/>
  <c r="I270" i="5"/>
  <c r="E213" i="5"/>
  <c r="D60" i="5"/>
  <c r="I218" i="5"/>
  <c r="F122" i="5"/>
  <c r="F282" i="5"/>
  <c r="D388" i="5"/>
  <c r="O388" i="5" s="1"/>
  <c r="G74" i="5"/>
  <c r="C61" i="5"/>
  <c r="T61" i="5" s="1"/>
  <c r="C234" i="5"/>
  <c r="G75" i="5"/>
  <c r="D46" i="5"/>
  <c r="C157" i="5"/>
  <c r="G234" i="5"/>
  <c r="E384" i="5"/>
  <c r="E285" i="5"/>
  <c r="C222" i="5"/>
  <c r="T222" i="5" s="1"/>
  <c r="D142" i="5"/>
  <c r="H414" i="5"/>
  <c r="H196" i="5"/>
  <c r="D47" i="5"/>
  <c r="H238" i="5"/>
  <c r="D361" i="5"/>
  <c r="F344" i="5"/>
  <c r="I342" i="5"/>
  <c r="E154" i="5"/>
  <c r="G189" i="5"/>
  <c r="H113" i="5"/>
  <c r="I61" i="5"/>
  <c r="I165" i="5"/>
  <c r="G332" i="5"/>
  <c r="D253" i="5"/>
  <c r="I169" i="5"/>
  <c r="T169" i="5" s="1"/>
  <c r="I33" i="5"/>
  <c r="C384" i="5"/>
  <c r="C161" i="5"/>
  <c r="I431" i="5"/>
  <c r="C199" i="5"/>
  <c r="E337" i="5"/>
  <c r="E290" i="5"/>
  <c r="I178" i="5"/>
  <c r="I323" i="5"/>
  <c r="H227" i="5"/>
  <c r="G102" i="5"/>
  <c r="I87" i="5"/>
  <c r="D293" i="5"/>
  <c r="I204" i="5"/>
  <c r="F364" i="5"/>
  <c r="C141" i="5"/>
  <c r="T141" i="5" s="1"/>
  <c r="E176" i="5"/>
  <c r="E161" i="5"/>
  <c r="F85" i="5"/>
  <c r="E260" i="5"/>
  <c r="C25" i="5"/>
  <c r="T25" i="5" s="1"/>
  <c r="I141" i="5"/>
  <c r="G51" i="5"/>
  <c r="E230" i="5"/>
  <c r="E168" i="5"/>
  <c r="C117" i="5"/>
  <c r="H368" i="5"/>
  <c r="F202" i="5"/>
  <c r="C145" i="5"/>
  <c r="D91" i="5"/>
  <c r="D70" i="5"/>
  <c r="H221" i="5"/>
  <c r="S221" i="5" s="1"/>
  <c r="C34" i="5"/>
  <c r="C190" i="5"/>
  <c r="G172" i="5"/>
  <c r="G361" i="5"/>
  <c r="S361" i="5" s="1"/>
  <c r="F158" i="5"/>
  <c r="D164" i="5"/>
  <c r="D254" i="5"/>
  <c r="G28" i="5"/>
  <c r="S28" i="5" s="1"/>
  <c r="I379" i="5"/>
  <c r="D461" i="5"/>
  <c r="E258" i="5"/>
  <c r="C412" i="5"/>
  <c r="T412" i="5" s="1"/>
  <c r="G526" i="5"/>
  <c r="H265" i="5"/>
  <c r="F435" i="5"/>
  <c r="C544" i="5"/>
  <c r="T544" i="5" s="1"/>
  <c r="D274" i="5"/>
  <c r="E386" i="5"/>
  <c r="E494" i="5"/>
  <c r="E196" i="5"/>
  <c r="C391" i="5"/>
  <c r="I275" i="5"/>
  <c r="T275" i="5" s="1"/>
  <c r="C142" i="5"/>
  <c r="D347" i="5"/>
  <c r="P347" i="5" s="1"/>
  <c r="H30" i="5"/>
  <c r="H39" i="5"/>
  <c r="H353" i="5"/>
  <c r="E464" i="5"/>
  <c r="G519" i="5"/>
  <c r="I147" i="5"/>
  <c r="C399" i="5"/>
  <c r="F539" i="5"/>
  <c r="D236" i="5"/>
  <c r="G427" i="5"/>
  <c r="S427" i="5" s="1"/>
  <c r="D484" i="5"/>
  <c r="G246" i="5"/>
  <c r="G392" i="5"/>
  <c r="G489" i="5"/>
  <c r="E436" i="5"/>
  <c r="E328" i="5"/>
  <c r="R328" i="5" s="1"/>
  <c r="C177" i="5"/>
  <c r="H216" i="5"/>
  <c r="H190" i="5"/>
  <c r="I429" i="5"/>
  <c r="C492" i="5"/>
  <c r="T492" i="5" s="1"/>
  <c r="D59" i="5"/>
  <c r="C355" i="5"/>
  <c r="H511" i="5"/>
  <c r="C150" i="5"/>
  <c r="D389" i="5"/>
  <c r="E458" i="5"/>
  <c r="D199" i="5"/>
  <c r="H354" i="5"/>
  <c r="H463" i="5"/>
  <c r="G342" i="5"/>
  <c r="D248" i="5"/>
  <c r="D34" i="5"/>
  <c r="H292" i="5"/>
  <c r="F140" i="5"/>
  <c r="H236" i="5"/>
  <c r="H385" i="5"/>
  <c r="F288" i="5"/>
  <c r="I223" i="5"/>
  <c r="I144" i="5"/>
  <c r="D418" i="5"/>
  <c r="C198" i="5"/>
  <c r="G54" i="5"/>
  <c r="C243" i="5"/>
  <c r="C364" i="5"/>
  <c r="G358" i="5"/>
  <c r="S358" i="5" s="1"/>
  <c r="C358" i="5"/>
  <c r="T358" i="5" s="1"/>
  <c r="G169" i="5"/>
  <c r="S169" i="5" s="1"/>
  <c r="D211" i="5"/>
  <c r="C115" i="5"/>
  <c r="E65" i="5"/>
  <c r="H191" i="5"/>
  <c r="D344" i="5"/>
  <c r="E261" i="5"/>
  <c r="C188" i="5"/>
  <c r="D52" i="5"/>
  <c r="E392" i="5"/>
  <c r="E173" i="5"/>
  <c r="H17" i="5"/>
  <c r="H205" i="5"/>
  <c r="F341" i="5"/>
  <c r="G298" i="5"/>
  <c r="C298" i="5"/>
  <c r="I24" i="5"/>
  <c r="T24" i="5" s="1"/>
  <c r="H111" i="5"/>
  <c r="E171" i="5"/>
  <c r="D118" i="5"/>
  <c r="C36" i="5"/>
  <c r="H281" i="5"/>
  <c r="H228" i="5"/>
  <c r="H105" i="5"/>
  <c r="H270" i="5"/>
  <c r="S270" i="5" s="1"/>
  <c r="E349" i="5"/>
  <c r="E121" i="5"/>
  <c r="F409" i="5"/>
  <c r="C158" i="5"/>
  <c r="C295" i="5"/>
  <c r="F244" i="5"/>
  <c r="F162" i="5"/>
  <c r="F272" i="5"/>
  <c r="C181" i="5"/>
  <c r="C322" i="5"/>
  <c r="C60" i="5"/>
  <c r="T60" i="5" s="1"/>
  <c r="D250" i="5"/>
  <c r="F152" i="5"/>
  <c r="H272" i="5"/>
  <c r="C96" i="5"/>
  <c r="C362" i="5"/>
  <c r="I139" i="5"/>
  <c r="G374" i="5"/>
  <c r="I207" i="5"/>
  <c r="D149" i="5"/>
  <c r="C97" i="5"/>
  <c r="H348" i="5"/>
  <c r="H152" i="5"/>
  <c r="D119" i="5"/>
  <c r="D71" i="5"/>
  <c r="I322" i="5"/>
  <c r="D81" i="5"/>
  <c r="H96" i="5"/>
  <c r="E45" i="5"/>
  <c r="E360" i="5"/>
  <c r="F177" i="5"/>
  <c r="E98" i="5"/>
  <c r="F144" i="5"/>
  <c r="G72" i="5"/>
  <c r="H315" i="5"/>
  <c r="F81" i="5"/>
  <c r="F104" i="5"/>
  <c r="C342" i="5"/>
  <c r="G92" i="5"/>
  <c r="C236" i="5"/>
  <c r="T236" i="5" s="1"/>
  <c r="E555" i="5"/>
  <c r="D189" i="5"/>
  <c r="H379" i="5"/>
  <c r="D496" i="5"/>
  <c r="C217" i="5"/>
  <c r="T217" i="5" s="1"/>
  <c r="D402" i="5"/>
  <c r="G520" i="5"/>
  <c r="C224" i="5"/>
  <c r="I351" i="5"/>
  <c r="I470" i="5"/>
  <c r="C140" i="5"/>
  <c r="T140" i="5" s="1"/>
  <c r="F318" i="5"/>
  <c r="I181" i="5"/>
  <c r="I408" i="5"/>
  <c r="E228" i="5"/>
  <c r="I124" i="5"/>
  <c r="T124" i="5" s="1"/>
  <c r="F391" i="5"/>
  <c r="E520" i="5"/>
  <c r="G431" i="5"/>
  <c r="F493" i="5"/>
  <c r="G62" i="5"/>
  <c r="D357" i="5"/>
  <c r="C517" i="5"/>
  <c r="T517" i="5" s="1"/>
  <c r="G157" i="5"/>
  <c r="H395" i="5"/>
  <c r="H460" i="5"/>
  <c r="E204" i="5"/>
  <c r="F359" i="5"/>
  <c r="D467" i="5"/>
  <c r="H357" i="5"/>
  <c r="G251" i="5"/>
  <c r="H57" i="5"/>
  <c r="S57" i="5" s="1"/>
  <c r="D296" i="5"/>
  <c r="D147" i="5"/>
  <c r="C368" i="5"/>
  <c r="T368" i="5" s="1"/>
  <c r="E472" i="5"/>
  <c r="D557" i="5"/>
  <c r="I327" i="5"/>
  <c r="T327" i="5" s="1"/>
  <c r="F483" i="5"/>
  <c r="F75" i="5"/>
  <c r="F335" i="5"/>
  <c r="F434" i="5"/>
  <c r="I132" i="5"/>
  <c r="E287" i="5"/>
  <c r="E441" i="5"/>
  <c r="I220" i="5"/>
  <c r="T220" i="5" s="1"/>
  <c r="D49" i="5"/>
  <c r="C149" i="5"/>
  <c r="T149" i="5" s="1"/>
  <c r="F50" i="5"/>
  <c r="I58" i="5"/>
  <c r="F200" i="5"/>
  <c r="C356" i="5"/>
  <c r="G264" i="5"/>
  <c r="D190" i="5"/>
  <c r="I65" i="5"/>
  <c r="H394" i="5"/>
  <c r="F175" i="5"/>
  <c r="I19" i="5"/>
  <c r="E207" i="5"/>
  <c r="E344" i="5"/>
  <c r="H312" i="5"/>
  <c r="D312" i="5"/>
  <c r="I26" i="5"/>
  <c r="F124" i="5"/>
  <c r="H173" i="5"/>
  <c r="G120" i="5"/>
  <c r="G71" i="5"/>
  <c r="I305" i="5"/>
  <c r="E240" i="5"/>
  <c r="G134" i="5"/>
  <c r="I294" i="5"/>
  <c r="T294" i="5" s="1"/>
  <c r="C366" i="5"/>
  <c r="H132" i="5"/>
  <c r="H417" i="5"/>
  <c r="F166" i="5"/>
  <c r="I307" i="5"/>
  <c r="H252" i="5"/>
  <c r="I237" i="5"/>
  <c r="E320" i="5"/>
  <c r="G41" i="5"/>
  <c r="S41" i="5" s="1"/>
  <c r="F73" i="5"/>
  <c r="F388" i="5"/>
  <c r="C500" i="5"/>
  <c r="T500" i="5" s="1"/>
  <c r="C242" i="5"/>
  <c r="D162" i="5"/>
  <c r="H326" i="5"/>
  <c r="F243" i="5"/>
  <c r="O243" i="5" s="1"/>
  <c r="H319" i="5"/>
  <c r="H55" i="5"/>
  <c r="C387" i="5"/>
  <c r="E95" i="5"/>
  <c r="H269" i="5"/>
  <c r="G48" i="5"/>
  <c r="I38" i="5"/>
  <c r="G280" i="5"/>
  <c r="S280" i="5" s="1"/>
  <c r="C138" i="5"/>
  <c r="E74" i="5"/>
  <c r="I54" i="5"/>
  <c r="C227" i="5"/>
  <c r="T227" i="5" s="1"/>
  <c r="H72" i="5"/>
  <c r="I362" i="5"/>
  <c r="H87" i="5"/>
  <c r="D171" i="5"/>
  <c r="Q171" i="5" s="1"/>
  <c r="D124" i="5"/>
  <c r="R124" i="5" s="1"/>
  <c r="F230" i="5"/>
  <c r="E163" i="5"/>
  <c r="H160" i="5"/>
  <c r="F106" i="5"/>
  <c r="D201" i="5"/>
  <c r="E131" i="5"/>
  <c r="P131" i="5" s="1"/>
  <c r="C127" i="5"/>
  <c r="T127" i="5" s="1"/>
  <c r="G80" i="5"/>
  <c r="S80" i="5" s="1"/>
  <c r="I159" i="5"/>
  <c r="E80" i="5"/>
  <c r="F97" i="5"/>
  <c r="H54" i="5"/>
  <c r="I221" i="5"/>
  <c r="G158" i="5"/>
  <c r="E105" i="5"/>
  <c r="E122" i="5"/>
  <c r="O122" i="5" s="1"/>
  <c r="F264" i="5"/>
  <c r="C187" i="5"/>
  <c r="F84" i="5"/>
  <c r="F96" i="5"/>
  <c r="C131" i="5"/>
  <c r="C154" i="5"/>
  <c r="T154" i="5" s="1"/>
  <c r="C483" i="5"/>
  <c r="T483" i="5" s="1"/>
  <c r="G535" i="5"/>
  <c r="S535" i="5" s="1"/>
  <c r="E111" i="5"/>
  <c r="G331" i="5"/>
  <c r="E455" i="5"/>
  <c r="G117" i="5"/>
  <c r="F368" i="5"/>
  <c r="H494" i="5"/>
  <c r="S494" i="5" s="1"/>
  <c r="H91" i="5"/>
  <c r="I313" i="5"/>
  <c r="F448" i="5"/>
  <c r="G107" i="5"/>
  <c r="I228" i="5"/>
  <c r="E336" i="5"/>
  <c r="E325" i="5"/>
  <c r="C49" i="5"/>
  <c r="T49" i="5" s="1"/>
  <c r="G137" i="5"/>
  <c r="D294" i="5"/>
  <c r="D318" i="5"/>
  <c r="H370" i="5"/>
  <c r="C478" i="5"/>
  <c r="G559" i="5"/>
  <c r="S559" i="5" s="1"/>
  <c r="F331" i="5"/>
  <c r="H487" i="5"/>
  <c r="F82" i="5"/>
  <c r="H346" i="5"/>
  <c r="S346" i="5" s="1"/>
  <c r="E438" i="5"/>
  <c r="D141" i="5"/>
  <c r="C291" i="5"/>
  <c r="T291" i="5" s="1"/>
  <c r="H443" i="5"/>
  <c r="G245" i="5"/>
  <c r="H78" i="5"/>
  <c r="E156" i="5"/>
  <c r="D54" i="5"/>
  <c r="E62" i="5"/>
  <c r="D313" i="5"/>
  <c r="C437" i="5"/>
  <c r="T437" i="5" s="1"/>
  <c r="D544" i="5"/>
  <c r="I297" i="5"/>
  <c r="F459" i="5"/>
  <c r="O459" i="5" s="1"/>
  <c r="G560" i="5"/>
  <c r="S560" i="5" s="1"/>
  <c r="F295" i="5"/>
  <c r="O295" i="5" s="1"/>
  <c r="I399" i="5"/>
  <c r="I510" i="5"/>
  <c r="F238" i="5"/>
  <c r="H416" i="5"/>
  <c r="C330" i="5"/>
  <c r="T330" i="5" s="1"/>
  <c r="C230" i="5"/>
  <c r="T230" i="5" s="1"/>
  <c r="E435" i="5"/>
  <c r="H288" i="5"/>
  <c r="S288" i="5" s="1"/>
  <c r="H94" i="5"/>
  <c r="C75" i="5"/>
  <c r="G307" i="5"/>
  <c r="D245" i="5"/>
  <c r="I151" i="5"/>
  <c r="C20" i="5"/>
  <c r="T20" i="5" s="1"/>
  <c r="H367" i="5"/>
  <c r="H141" i="5"/>
  <c r="S141" i="5" s="1"/>
  <c r="D421" i="5"/>
  <c r="F170" i="5"/>
  <c r="D309" i="5"/>
  <c r="I266" i="5"/>
  <c r="H248" i="5"/>
  <c r="F334" i="5"/>
  <c r="C43" i="5"/>
  <c r="E76" i="5"/>
  <c r="P76" i="5" s="1"/>
  <c r="C395" i="5"/>
  <c r="E508" i="5"/>
  <c r="D251" i="5"/>
  <c r="H183" i="5"/>
  <c r="E60" i="5"/>
  <c r="E256" i="5"/>
  <c r="G329" i="5"/>
  <c r="I82" i="5"/>
  <c r="E395" i="5"/>
  <c r="E120" i="5"/>
  <c r="G279" i="5"/>
  <c r="C203" i="5"/>
  <c r="I152" i="5"/>
  <c r="D266" i="5"/>
  <c r="C132" i="5"/>
  <c r="C151" i="5"/>
  <c r="F362" i="5"/>
  <c r="G476" i="5"/>
  <c r="H171" i="5"/>
  <c r="E100" i="5"/>
  <c r="H299" i="5"/>
  <c r="F209" i="5"/>
  <c r="E294" i="5"/>
  <c r="I216" i="5"/>
  <c r="S216" i="5" s="1"/>
  <c r="I345" i="5"/>
  <c r="C33" i="5"/>
  <c r="E251" i="5"/>
  <c r="F380" i="5"/>
  <c r="D111" i="5"/>
  <c r="G205" i="5"/>
  <c r="C28" i="5"/>
  <c r="T28" i="5" s="1"/>
  <c r="F320" i="5"/>
  <c r="C17" i="5"/>
  <c r="C162" i="5"/>
  <c r="C427" i="5"/>
  <c r="T427" i="5" s="1"/>
  <c r="E266" i="5"/>
  <c r="E52" i="5"/>
  <c r="F360" i="5"/>
  <c r="E85" i="5"/>
  <c r="D166" i="5"/>
  <c r="O166" i="5" s="1"/>
  <c r="H99" i="5"/>
  <c r="C103" i="5"/>
  <c r="T103" i="5" s="1"/>
  <c r="G60" i="5"/>
  <c r="G115" i="5"/>
  <c r="C58" i="5"/>
  <c r="E83" i="5"/>
  <c r="H34" i="5"/>
  <c r="D83" i="5"/>
  <c r="P83" i="5" s="1"/>
  <c r="E37" i="5"/>
  <c r="F45" i="5"/>
  <c r="I28" i="5"/>
  <c r="E113" i="5"/>
  <c r="F109" i="5"/>
  <c r="F59" i="5"/>
  <c r="F76" i="5"/>
  <c r="I213" i="5"/>
  <c r="F115" i="5"/>
  <c r="E239" i="5"/>
  <c r="G50" i="5"/>
  <c r="F340" i="5"/>
  <c r="I41" i="5"/>
  <c r="H261" i="5"/>
  <c r="G512" i="5"/>
  <c r="F545" i="5"/>
  <c r="C259" i="5"/>
  <c r="G438" i="5"/>
  <c r="G95" i="5"/>
  <c r="I310" i="5"/>
  <c r="I453" i="5"/>
  <c r="C510" i="5"/>
  <c r="T510" i="5" s="1"/>
  <c r="G282" i="5"/>
  <c r="I424" i="5"/>
  <c r="F515" i="5"/>
  <c r="I504" i="5"/>
  <c r="F211" i="5"/>
  <c r="E249" i="5"/>
  <c r="G355" i="5"/>
  <c r="G177" i="5"/>
  <c r="I509" i="5"/>
  <c r="G555" i="5"/>
  <c r="E315" i="5"/>
  <c r="F441" i="5"/>
  <c r="G546" i="5"/>
  <c r="C300" i="5"/>
  <c r="E462" i="5"/>
  <c r="G24" i="5"/>
  <c r="E304" i="5"/>
  <c r="I403" i="5"/>
  <c r="T403" i="5" s="1"/>
  <c r="E514" i="5"/>
  <c r="F240" i="5"/>
  <c r="E419" i="5"/>
  <c r="I20" i="5"/>
  <c r="F251" i="5"/>
  <c r="H437" i="5"/>
  <c r="S437" i="5" s="1"/>
  <c r="G294" i="5"/>
  <c r="S294" i="5" s="1"/>
  <c r="D98" i="5"/>
  <c r="Q98" i="5" s="1"/>
  <c r="G242" i="5"/>
  <c r="H405" i="5"/>
  <c r="H520" i="5"/>
  <c r="D257" i="5"/>
  <c r="I430" i="5"/>
  <c r="D538" i="5"/>
  <c r="R538" i="5" s="1"/>
  <c r="E265" i="5"/>
  <c r="C379" i="5"/>
  <c r="T379" i="5" s="1"/>
  <c r="F488" i="5"/>
  <c r="H182" i="5"/>
  <c r="F378" i="5"/>
  <c r="H259" i="5"/>
  <c r="F118" i="5"/>
  <c r="F330" i="5"/>
  <c r="C325" i="5"/>
  <c r="G396" i="5"/>
  <c r="S396" i="5" s="1"/>
  <c r="H510" i="5"/>
  <c r="D255" i="5"/>
  <c r="H203" i="5"/>
  <c r="I73" i="5"/>
  <c r="G262" i="5"/>
  <c r="I333" i="5"/>
  <c r="C101" i="5"/>
  <c r="H397" i="5"/>
  <c r="F129" i="5"/>
  <c r="I283" i="5"/>
  <c r="F217" i="5"/>
  <c r="D156" i="5"/>
  <c r="C272" i="5"/>
  <c r="G144" i="5"/>
  <c r="G152" i="5"/>
  <c r="S152" i="5" s="1"/>
  <c r="G370" i="5"/>
  <c r="S370" i="5" s="1"/>
  <c r="I484" i="5"/>
  <c r="G212" i="5"/>
  <c r="I134" i="5"/>
  <c r="F312" i="5"/>
  <c r="H223" i="5"/>
  <c r="D304" i="5"/>
  <c r="G22" i="5"/>
  <c r="F358" i="5"/>
  <c r="G58" i="5"/>
  <c r="G255" i="5"/>
  <c r="H136" i="5"/>
  <c r="G38" i="5"/>
  <c r="H167" i="5"/>
  <c r="I52" i="5"/>
  <c r="T52" i="5" s="1"/>
  <c r="C31" i="5"/>
  <c r="H327" i="5"/>
  <c r="S327" i="5" s="1"/>
  <c r="D454" i="5"/>
  <c r="D107" i="5"/>
  <c r="D349" i="5"/>
  <c r="Q349" i="5" s="1"/>
  <c r="E272" i="5"/>
  <c r="E174" i="5"/>
  <c r="C266" i="5"/>
  <c r="T266" i="5" s="1"/>
  <c r="F180" i="5"/>
  <c r="H324" i="5"/>
  <c r="S324" i="5" s="1"/>
  <c r="E422" i="5"/>
  <c r="C212" i="5"/>
  <c r="D319" i="5"/>
  <c r="Q319" i="5" s="1"/>
  <c r="D289" i="5"/>
  <c r="G238" i="5"/>
  <c r="E292" i="5"/>
  <c r="I249" i="5"/>
  <c r="S249" i="5" s="1"/>
  <c r="H245" i="5"/>
  <c r="S245" i="5" s="1"/>
  <c r="E159" i="5"/>
  <c r="D247" i="5"/>
  <c r="H188" i="5"/>
  <c r="E316" i="5"/>
  <c r="H295" i="5"/>
  <c r="H110" i="5"/>
  <c r="H335" i="5"/>
  <c r="F105" i="5"/>
  <c r="C139" i="5"/>
  <c r="C65" i="5"/>
  <c r="I309" i="5"/>
  <c r="G76" i="5"/>
  <c r="G94" i="5"/>
  <c r="E370" i="5"/>
  <c r="C285" i="5"/>
  <c r="I44" i="5"/>
  <c r="S44" i="5" s="1"/>
  <c r="D55" i="5"/>
  <c r="D187" i="5"/>
  <c r="E104" i="5"/>
  <c r="I115" i="5"/>
  <c r="I68" i="5"/>
  <c r="C50" i="5"/>
  <c r="T50" i="5" s="1"/>
  <c r="D163" i="5"/>
  <c r="R163" i="5" s="1"/>
  <c r="D286" i="5"/>
  <c r="O286" i="5" s="1"/>
  <c r="F68" i="5"/>
  <c r="D24" i="5"/>
  <c r="I355" i="5"/>
  <c r="E36" i="5"/>
  <c r="E66" i="5"/>
  <c r="D430" i="5"/>
  <c r="C469" i="5"/>
  <c r="T469" i="5" s="1"/>
  <c r="C523" i="5"/>
  <c r="I188" i="5"/>
  <c r="I400" i="5"/>
  <c r="I541" i="5"/>
  <c r="E252" i="5"/>
  <c r="D432" i="5"/>
  <c r="G486" i="5"/>
  <c r="G250" i="5"/>
  <c r="I393" i="5"/>
  <c r="T393" i="5" s="1"/>
  <c r="C493" i="5"/>
  <c r="I444" i="5"/>
  <c r="G52" i="5"/>
  <c r="I191" i="5"/>
  <c r="I252" i="5"/>
  <c r="C22" i="5"/>
  <c r="T22" i="5" s="1"/>
  <c r="E371" i="5"/>
  <c r="D456" i="5"/>
  <c r="R456" i="5" s="1"/>
  <c r="F253" i="5"/>
  <c r="E407" i="5"/>
  <c r="D524" i="5"/>
  <c r="E263" i="5"/>
  <c r="H433" i="5"/>
  <c r="G540" i="5"/>
  <c r="E267" i="5"/>
  <c r="Q267" i="5" s="1"/>
  <c r="H383" i="5"/>
  <c r="I490" i="5"/>
  <c r="E187" i="5"/>
  <c r="I389" i="5"/>
  <c r="I267" i="5"/>
  <c r="E123" i="5"/>
  <c r="H331" i="5"/>
  <c r="S331" i="5" s="1"/>
  <c r="F327" i="5"/>
  <c r="D545" i="5"/>
  <c r="C147" i="5"/>
  <c r="C374" i="5"/>
  <c r="I487" i="5"/>
  <c r="T487" i="5" s="1"/>
  <c r="I206" i="5"/>
  <c r="D394" i="5"/>
  <c r="F514" i="5"/>
  <c r="D193" i="5"/>
  <c r="O193" i="5" s="1"/>
  <c r="H336" i="5"/>
  <c r="C466" i="5"/>
  <c r="C128" i="5"/>
  <c r="G300" i="5"/>
  <c r="S300" i="5" s="1"/>
  <c r="F142" i="5"/>
  <c r="I388" i="5"/>
  <c r="I200" i="5"/>
  <c r="D366" i="5"/>
  <c r="D375" i="5"/>
  <c r="E488" i="5"/>
  <c r="E218" i="5"/>
  <c r="E139" i="5"/>
  <c r="I315" i="5"/>
  <c r="F228" i="5"/>
  <c r="G305" i="5"/>
  <c r="S305" i="5" s="1"/>
  <c r="D29" i="5"/>
  <c r="E368" i="5"/>
  <c r="Q368" i="5" s="1"/>
  <c r="F60" i="5"/>
  <c r="C257" i="5"/>
  <c r="T257" i="5" s="1"/>
  <c r="E160" i="5"/>
  <c r="D72" i="5"/>
  <c r="F191" i="5"/>
  <c r="F62" i="5"/>
  <c r="H32" i="5"/>
  <c r="C339" i="5"/>
  <c r="T339" i="5" s="1"/>
  <c r="F462" i="5"/>
  <c r="C125" i="5"/>
  <c r="E39" i="5"/>
  <c r="E288" i="5"/>
  <c r="E185" i="5"/>
  <c r="I278" i="5"/>
  <c r="T278" i="5" s="1"/>
  <c r="C196" i="5"/>
  <c r="C333" i="5"/>
  <c r="T333" i="5" s="1"/>
  <c r="G430" i="5"/>
  <c r="I229" i="5"/>
  <c r="C56" i="5"/>
  <c r="G341" i="5"/>
  <c r="I45" i="5"/>
  <c r="H201" i="5"/>
  <c r="E82" i="5"/>
  <c r="H298" i="5"/>
  <c r="G424" i="5"/>
  <c r="F328" i="5"/>
  <c r="I299" i="5"/>
  <c r="H246" i="5"/>
  <c r="H97" i="5"/>
  <c r="G230" i="5"/>
  <c r="S230" i="5" s="1"/>
  <c r="I142" i="5"/>
  <c r="G296" i="5"/>
  <c r="I398" i="5"/>
  <c r="E133" i="5"/>
  <c r="G195" i="5"/>
  <c r="G216" i="5"/>
  <c r="G105" i="5"/>
  <c r="C221" i="5"/>
  <c r="T221" i="5" s="1"/>
  <c r="C85" i="5"/>
  <c r="C122" i="5"/>
  <c r="T122" i="5" s="1"/>
  <c r="G25" i="5"/>
  <c r="G187" i="5"/>
  <c r="H342" i="5"/>
  <c r="I245" i="5"/>
  <c r="C171" i="5"/>
  <c r="D376" i="5"/>
  <c r="I289" i="5"/>
  <c r="T289" i="5" s="1"/>
  <c r="H49" i="5"/>
  <c r="S49" i="5" s="1"/>
  <c r="E59" i="5"/>
  <c r="E350" i="5"/>
  <c r="C265" i="5"/>
  <c r="H23" i="5"/>
  <c r="C41" i="5"/>
  <c r="T41" i="5" s="1"/>
  <c r="F324" i="5"/>
  <c r="F241" i="5"/>
  <c r="D152" i="5"/>
  <c r="O152" i="5" s="1"/>
  <c r="F156" i="5"/>
  <c r="C100" i="5"/>
  <c r="T100" i="5" s="1"/>
  <c r="H48" i="5"/>
  <c r="C72" i="5"/>
  <c r="C24" i="5"/>
  <c r="H147" i="5"/>
  <c r="S147" i="5" s="1"/>
  <c r="D57" i="5"/>
  <c r="I232" i="5"/>
  <c r="D174" i="5"/>
  <c r="I121" i="5"/>
  <c r="F86" i="5"/>
  <c r="G334" i="5"/>
  <c r="E117" i="5"/>
  <c r="G165" i="5"/>
  <c r="E64" i="5"/>
  <c r="F19" i="5"/>
  <c r="G143" i="5"/>
  <c r="E327" i="5"/>
  <c r="H251" i="5"/>
  <c r="D167" i="5"/>
  <c r="G27" i="5"/>
  <c r="D380" i="5"/>
  <c r="R380" i="5" s="1"/>
  <c r="C159" i="5"/>
  <c r="T159" i="5" s="1"/>
  <c r="F429" i="5"/>
  <c r="F194" i="5"/>
  <c r="G327" i="5"/>
  <c r="D276" i="5"/>
  <c r="D272" i="5"/>
  <c r="I356" i="5"/>
  <c r="C67" i="5"/>
  <c r="D117" i="5"/>
  <c r="E72" i="5"/>
  <c r="O72" i="5" s="1"/>
  <c r="E23" i="5"/>
  <c r="F266" i="5"/>
  <c r="E220" i="5"/>
  <c r="G89" i="5"/>
  <c r="G267" i="5"/>
  <c r="F339" i="5"/>
  <c r="Q339" i="5" s="1"/>
  <c r="G109" i="5"/>
  <c r="G403" i="5"/>
  <c r="S403" i="5" s="1"/>
  <c r="E140" i="5"/>
  <c r="F289" i="5"/>
  <c r="I224" i="5"/>
  <c r="G191" i="5"/>
  <c r="G288" i="5"/>
  <c r="H150" i="5"/>
  <c r="I174" i="5"/>
  <c r="H21" i="5"/>
  <c r="H210" i="5"/>
  <c r="C350" i="5"/>
  <c r="D316" i="5"/>
  <c r="G314" i="5"/>
  <c r="S314" i="5" s="1"/>
  <c r="E68" i="5"/>
  <c r="C126" i="5"/>
  <c r="T126" i="5" s="1"/>
  <c r="D19" i="5"/>
  <c r="G140" i="5"/>
  <c r="S140" i="5" s="1"/>
  <c r="H352" i="5"/>
  <c r="E153" i="5"/>
  <c r="D352" i="5"/>
  <c r="D132" i="5"/>
  <c r="F267" i="5"/>
  <c r="F374" i="5"/>
  <c r="C156" i="5"/>
  <c r="T156" i="5" s="1"/>
  <c r="G64" i="5"/>
  <c r="S64" i="5" s="1"/>
  <c r="D25" i="5"/>
  <c r="D188" i="5"/>
  <c r="C129" i="5"/>
  <c r="I84" i="5"/>
  <c r="G42" i="5"/>
  <c r="S42" i="5" s="1"/>
  <c r="F112" i="5"/>
  <c r="G73" i="5"/>
  <c r="D38" i="5"/>
  <c r="R38" i="5" s="1"/>
  <c r="I326" i="5"/>
  <c r="F110" i="5"/>
  <c r="E326" i="5"/>
  <c r="D85" i="5"/>
  <c r="H242" i="5"/>
  <c r="G348" i="5"/>
  <c r="S348" i="5" s="1"/>
  <c r="C83" i="5"/>
  <c r="D42" i="5"/>
  <c r="Q42" i="5" s="1"/>
  <c r="I153" i="5"/>
  <c r="C168" i="5"/>
  <c r="F102" i="5"/>
  <c r="E55" i="5"/>
  <c r="I158" i="5"/>
  <c r="G86" i="5"/>
  <c r="S86" i="5" s="1"/>
  <c r="H47" i="5"/>
  <c r="D231" i="5"/>
  <c r="C302" i="5"/>
  <c r="I59" i="5"/>
  <c r="F300" i="5"/>
  <c r="I49" i="5"/>
  <c r="H215" i="5"/>
  <c r="H322" i="5"/>
  <c r="S322" i="5" s="1"/>
  <c r="I47" i="5"/>
  <c r="I190" i="5"/>
  <c r="E135" i="5"/>
  <c r="E124" i="5"/>
  <c r="G68" i="5"/>
  <c r="D17" i="5"/>
  <c r="C134" i="5"/>
  <c r="H60" i="5"/>
  <c r="I21" i="5"/>
  <c r="T21" i="5" s="1"/>
  <c r="F26" i="5"/>
  <c r="I75" i="5"/>
  <c r="E235" i="5"/>
  <c r="I336" i="5"/>
  <c r="T336" i="5" s="1"/>
  <c r="H66" i="5"/>
  <c r="H19" i="5"/>
  <c r="C146" i="5"/>
  <c r="T146" i="5" s="1"/>
  <c r="E158" i="5"/>
  <c r="Q158" i="5" s="1"/>
  <c r="E88" i="5"/>
  <c r="G35" i="5"/>
  <c r="D148" i="5"/>
  <c r="I74" i="5"/>
  <c r="C37" i="5"/>
  <c r="G176" i="5"/>
  <c r="I133" i="5"/>
  <c r="T133" i="5" s="1"/>
  <c r="H108" i="5"/>
  <c r="C54" i="5"/>
  <c r="T54" i="5" s="1"/>
  <c r="E125" i="5"/>
  <c r="I88" i="5"/>
  <c r="G378" i="5"/>
  <c r="S378" i="5" s="1"/>
  <c r="H181" i="5"/>
  <c r="C378" i="5"/>
  <c r="T378" i="5" s="1"/>
  <c r="I177" i="5"/>
  <c r="T177" i="5" s="1"/>
  <c r="E293" i="5"/>
  <c r="P293" i="5" s="1"/>
  <c r="F51" i="5"/>
  <c r="I211" i="5"/>
  <c r="D101" i="5"/>
  <c r="C51" i="5"/>
  <c r="I215" i="5"/>
  <c r="F150" i="5"/>
  <c r="E107" i="5"/>
  <c r="G63" i="5"/>
  <c r="S63" i="5" s="1"/>
  <c r="D28" i="5"/>
  <c r="P28" i="5" s="1"/>
  <c r="F99" i="5"/>
  <c r="C64" i="5"/>
  <c r="G274" i="5"/>
  <c r="S274" i="5" s="1"/>
  <c r="H362" i="5"/>
  <c r="F89" i="5"/>
  <c r="F121" i="5"/>
  <c r="H74" i="5"/>
  <c r="H26" i="5"/>
  <c r="S26" i="5" s="1"/>
  <c r="I277" i="5"/>
  <c r="H225" i="5"/>
  <c r="C92" i="5"/>
  <c r="C269" i="5"/>
  <c r="H343" i="5"/>
  <c r="F114" i="5"/>
  <c r="C407" i="5"/>
  <c r="H153" i="5"/>
  <c r="S153" i="5" s="1"/>
  <c r="H293" i="5"/>
  <c r="H234" i="5"/>
  <c r="H195" i="5"/>
  <c r="F294" i="5"/>
  <c r="I170" i="5"/>
  <c r="I194" i="5"/>
  <c r="C380" i="5"/>
  <c r="T380" i="5" s="1"/>
  <c r="D494" i="5"/>
  <c r="P494" i="5" s="1"/>
  <c r="F232" i="5"/>
  <c r="F149" i="5"/>
  <c r="H323" i="5"/>
  <c r="G233" i="5"/>
  <c r="C314" i="5"/>
  <c r="T314" i="5" s="1"/>
  <c r="E41" i="5"/>
  <c r="O41" i="5" s="1"/>
  <c r="D378" i="5"/>
  <c r="F88" i="5"/>
  <c r="C264" i="5"/>
  <c r="D170" i="5"/>
  <c r="G81" i="5"/>
  <c r="D224" i="5"/>
  <c r="C86" i="5"/>
  <c r="T86" i="5" s="1"/>
  <c r="I53" i="5"/>
  <c r="T53" i="5" s="1"/>
  <c r="G423" i="5"/>
  <c r="I183" i="5"/>
  <c r="F313" i="5"/>
  <c r="E270" i="5"/>
  <c r="D252" i="5"/>
  <c r="E340" i="5"/>
  <c r="G57" i="5"/>
  <c r="D93" i="5"/>
  <c r="I48" i="5"/>
  <c r="S48" i="5" s="1"/>
  <c r="E330" i="5"/>
  <c r="D116" i="5"/>
  <c r="H328" i="5"/>
  <c r="C87" i="5"/>
  <c r="T87" i="5" s="1"/>
  <c r="C245" i="5"/>
  <c r="C352" i="5"/>
  <c r="F94" i="5"/>
  <c r="R94" i="5" s="1"/>
  <c r="H43" i="5"/>
  <c r="F155" i="5"/>
  <c r="E169" i="5"/>
  <c r="H103" i="5"/>
  <c r="G59" i="5"/>
  <c r="S59" i="5" s="1"/>
  <c r="G18" i="5"/>
  <c r="C90" i="5"/>
  <c r="D51" i="5"/>
  <c r="H232" i="5"/>
  <c r="F304" i="5"/>
  <c r="R304" i="5" s="1"/>
  <c r="H61" i="5"/>
  <c r="I302" i="5"/>
  <c r="G55" i="5"/>
  <c r="C218" i="5"/>
  <c r="D326" i="5"/>
  <c r="E49" i="5"/>
  <c r="I201" i="5"/>
  <c r="I136" i="5"/>
  <c r="S136" i="5" s="1"/>
  <c r="F127" i="5"/>
  <c r="I72" i="5"/>
  <c r="F21" i="5"/>
  <c r="F136" i="5"/>
  <c r="D64" i="5"/>
  <c r="E25" i="5"/>
  <c r="R25" i="5" s="1"/>
  <c r="F187" i="5"/>
  <c r="P187" i="5" s="1"/>
  <c r="G278" i="5"/>
  <c r="S278" i="5" s="1"/>
  <c r="G29" i="5"/>
  <c r="C278" i="5"/>
  <c r="H375" i="5"/>
  <c r="I199" i="5"/>
  <c r="E300" i="5"/>
  <c r="F203" i="5"/>
  <c r="D168" i="5"/>
  <c r="D105" i="5"/>
  <c r="H95" i="5"/>
  <c r="F30" i="5"/>
  <c r="E178" i="5"/>
  <c r="G110" i="5"/>
  <c r="E38" i="5"/>
  <c r="F146" i="5"/>
  <c r="D292" i="5"/>
  <c r="I32" i="5"/>
  <c r="F210" i="5"/>
  <c r="F314" i="5"/>
  <c r="G32" i="5"/>
  <c r="E184" i="5"/>
  <c r="D129" i="5"/>
  <c r="E108" i="5"/>
  <c r="H58" i="5"/>
  <c r="S58" i="5" s="1"/>
  <c r="F192" i="5"/>
  <c r="O192" i="5" s="1"/>
  <c r="H124" i="5"/>
  <c r="F52" i="5"/>
  <c r="G160" i="5"/>
  <c r="D157" i="5"/>
  <c r="G111" i="5"/>
  <c r="H77" i="5"/>
  <c r="G30" i="5"/>
  <c r="S30" i="5" s="1"/>
  <c r="I101" i="5"/>
  <c r="T101" i="5" s="1"/>
  <c r="F66" i="5"/>
  <c r="D356" i="5"/>
  <c r="C155" i="5"/>
  <c r="G354" i="5"/>
  <c r="H139" i="5"/>
  <c r="I269" i="5"/>
  <c r="T269" i="5" s="1"/>
  <c r="I376" i="5"/>
  <c r="I157" i="5"/>
  <c r="T157" i="5" s="1"/>
  <c r="C66" i="5"/>
  <c r="D30" i="5"/>
  <c r="F189" i="5"/>
  <c r="E130" i="5"/>
  <c r="D86" i="5"/>
  <c r="I43" i="5"/>
  <c r="I114" i="5"/>
  <c r="C77" i="5"/>
  <c r="T77" i="5" s="1"/>
  <c r="G40" i="5"/>
  <c r="D218" i="5"/>
  <c r="I296" i="5"/>
  <c r="D180" i="5"/>
  <c r="E198" i="5"/>
  <c r="H381" i="5"/>
  <c r="S381" i="5" s="1"/>
  <c r="G496" i="5"/>
  <c r="F236" i="5"/>
  <c r="G159" i="5"/>
  <c r="D325" i="5"/>
  <c r="C235" i="5"/>
  <c r="F315" i="5"/>
  <c r="F43" i="5"/>
  <c r="G383" i="5"/>
  <c r="F90" i="5"/>
  <c r="F265" i="5"/>
  <c r="I171" i="5"/>
  <c r="F98" i="5"/>
  <c r="F225" i="5"/>
  <c r="F100" i="5"/>
  <c r="F80" i="5"/>
  <c r="C351" i="5"/>
  <c r="H470" i="5"/>
  <c r="S470" i="5" s="1"/>
  <c r="D150" i="5"/>
  <c r="D82" i="5"/>
  <c r="C293" i="5"/>
  <c r="T293" i="5" s="1"/>
  <c r="F201" i="5"/>
  <c r="D290" i="5"/>
  <c r="D212" i="5"/>
  <c r="H341" i="5"/>
  <c r="G17" i="5"/>
  <c r="E244" i="5"/>
  <c r="R244" i="5" s="1"/>
  <c r="H93" i="5"/>
  <c r="C365" i="5"/>
  <c r="D79" i="5"/>
  <c r="D225" i="5"/>
  <c r="D108" i="5"/>
  <c r="D401" i="5"/>
  <c r="G131" i="5"/>
  <c r="S131" i="5" s="1"/>
  <c r="D285" i="5"/>
  <c r="H218" i="5"/>
  <c r="G182" i="5"/>
  <c r="F274" i="5"/>
  <c r="G147" i="5"/>
  <c r="F172" i="5"/>
  <c r="D234" i="5"/>
  <c r="I306" i="5"/>
  <c r="S306" i="5" s="1"/>
  <c r="F69" i="5"/>
  <c r="E306" i="5"/>
  <c r="I64" i="5"/>
  <c r="C223" i="5"/>
  <c r="G328" i="5"/>
  <c r="D53" i="5"/>
  <c r="E205" i="5"/>
  <c r="P205" i="5" s="1"/>
  <c r="E138" i="5"/>
  <c r="F133" i="5"/>
  <c r="Q133" i="5" s="1"/>
  <c r="D74" i="5"/>
  <c r="H25" i="5"/>
  <c r="I138" i="5"/>
  <c r="G66" i="5"/>
  <c r="H27" i="5"/>
  <c r="E189" i="5"/>
  <c r="C282" i="5"/>
  <c r="T282" i="5" s="1"/>
  <c r="H33" i="5"/>
  <c r="F280" i="5"/>
  <c r="D379" i="5"/>
  <c r="I203" i="5"/>
  <c r="S203" i="5" s="1"/>
  <c r="H302" i="5"/>
  <c r="I205" i="5"/>
  <c r="F169" i="5"/>
  <c r="O169" i="5" s="1"/>
  <c r="C113" i="5"/>
  <c r="T113" i="5" s="1"/>
  <c r="D97" i="5"/>
  <c r="E40" i="5"/>
  <c r="H180" i="5"/>
  <c r="C114" i="5"/>
  <c r="H40" i="5"/>
  <c r="I148" i="5"/>
  <c r="E151" i="5"/>
  <c r="P151" i="5" s="1"/>
  <c r="D256" i="5"/>
  <c r="C136" i="5"/>
  <c r="T136" i="5" s="1"/>
  <c r="G254" i="5"/>
  <c r="E353" i="5"/>
  <c r="F174" i="5"/>
  <c r="I276" i="5"/>
  <c r="F183" i="5"/>
  <c r="G127" i="5"/>
  <c r="F65" i="5"/>
  <c r="F57" i="5"/>
  <c r="D177" i="5"/>
  <c r="D155" i="5"/>
  <c r="D88" i="5"/>
  <c r="F159" i="5"/>
  <c r="C124" i="5"/>
  <c r="H268" i="5"/>
  <c r="S268" i="5" s="1"/>
  <c r="F367" i="5"/>
  <c r="I192" i="5"/>
  <c r="S192" i="5" s="1"/>
  <c r="C292" i="5"/>
  <c r="F197" i="5"/>
  <c r="I162" i="5"/>
  <c r="T162" i="5" s="1"/>
  <c r="E89" i="5"/>
  <c r="E81" i="5"/>
  <c r="I17" i="5"/>
  <c r="T17" i="5" s="1"/>
  <c r="C170" i="5"/>
  <c r="T170" i="5" s="1"/>
  <c r="E102" i="5"/>
  <c r="C30" i="5"/>
  <c r="T30" i="5" s="1"/>
  <c r="D138" i="5"/>
  <c r="H131" i="5"/>
  <c r="G87" i="5"/>
  <c r="D45" i="5"/>
  <c r="E118" i="5"/>
  <c r="F79" i="5"/>
  <c r="Q79" i="5" s="1"/>
  <c r="C44" i="5"/>
  <c r="T44" i="5" s="1"/>
  <c r="H332" i="5"/>
  <c r="H123" i="5"/>
  <c r="D332" i="5"/>
  <c r="G96" i="5"/>
  <c r="F247" i="5"/>
  <c r="F354" i="5"/>
  <c r="E96" i="5"/>
  <c r="Q96" i="5" s="1"/>
  <c r="G45" i="5"/>
  <c r="I166" i="5"/>
  <c r="C172" i="5"/>
  <c r="C105" i="5"/>
  <c r="T105" i="5" s="1"/>
  <c r="E69" i="5"/>
  <c r="I22" i="5"/>
  <c r="F92" i="5"/>
  <c r="Q92" i="5" s="1"/>
  <c r="G53" i="5"/>
  <c r="D18" i="5"/>
  <c r="H184" i="5"/>
  <c r="C106" i="5"/>
  <c r="H237" i="5"/>
  <c r="G103" i="5"/>
  <c r="E90" i="5"/>
  <c r="I357" i="5"/>
  <c r="D474" i="5"/>
  <c r="H168" i="5"/>
  <c r="E84" i="5"/>
  <c r="F296" i="5"/>
  <c r="F205" i="5"/>
  <c r="F291" i="5"/>
  <c r="E215" i="5"/>
  <c r="C343" i="5"/>
  <c r="E30" i="5"/>
  <c r="C250" i="5"/>
  <c r="T250" i="5" s="1"/>
  <c r="F95" i="5"/>
  <c r="I369" i="5"/>
  <c r="H109" i="5"/>
  <c r="G227" i="5"/>
  <c r="S227" i="5" s="1"/>
  <c r="D128" i="5"/>
  <c r="C320" i="5"/>
  <c r="T320" i="5" s="1"/>
  <c r="E448" i="5"/>
  <c r="I83" i="5"/>
  <c r="C341" i="5"/>
  <c r="C261" i="5"/>
  <c r="T261" i="5" s="1"/>
  <c r="D154" i="5"/>
  <c r="G253" i="5"/>
  <c r="F176" i="5"/>
  <c r="H317" i="5"/>
  <c r="S317" i="5" s="1"/>
  <c r="F416" i="5"/>
  <c r="E180" i="5"/>
  <c r="Q180" i="5" s="1"/>
  <c r="I23" i="5"/>
  <c r="G301" i="5"/>
  <c r="D196" i="5"/>
  <c r="H162" i="5"/>
  <c r="G126" i="5"/>
  <c r="G372" i="5"/>
  <c r="S372" i="5" s="1"/>
  <c r="I76" i="5"/>
  <c r="S76" i="5" s="1"/>
  <c r="D261" i="5"/>
  <c r="D165" i="5"/>
  <c r="E79" i="5"/>
  <c r="G220" i="5"/>
  <c r="I63" i="5"/>
  <c r="G49" i="5"/>
  <c r="E194" i="5"/>
  <c r="Q194" i="5" s="1"/>
  <c r="F284" i="5"/>
  <c r="E35" i="5"/>
  <c r="O35" i="5" s="1"/>
  <c r="I282" i="5"/>
  <c r="G381" i="5"/>
  <c r="C205" i="5"/>
  <c r="T205" i="5" s="1"/>
  <c r="D306" i="5"/>
  <c r="E209" i="5"/>
  <c r="D172" i="5"/>
  <c r="Q172" i="5" s="1"/>
  <c r="E116" i="5"/>
  <c r="C102" i="5"/>
  <c r="T102" i="5" s="1"/>
  <c r="G44" i="5"/>
  <c r="D184" i="5"/>
  <c r="F116" i="5"/>
  <c r="D44" i="5"/>
  <c r="E152" i="5"/>
  <c r="E162" i="5"/>
  <c r="G258" i="5"/>
  <c r="S258" i="5" s="1"/>
  <c r="E143" i="5"/>
  <c r="C258" i="5"/>
  <c r="H355" i="5"/>
  <c r="H177" i="5"/>
  <c r="E280" i="5"/>
  <c r="E191" i="5"/>
  <c r="H133" i="5"/>
  <c r="H71" i="5"/>
  <c r="D62" i="5"/>
  <c r="G179" i="5"/>
  <c r="G156" i="5"/>
  <c r="S156" i="5" s="1"/>
  <c r="G90" i="5"/>
  <c r="E18" i="5"/>
  <c r="F126" i="5"/>
  <c r="G104" i="5"/>
  <c r="C237" i="5"/>
  <c r="T237" i="5" s="1"/>
  <c r="G77" i="5"/>
  <c r="S77" i="5" s="1"/>
  <c r="G225" i="5"/>
  <c r="I329" i="5"/>
  <c r="G128" i="5"/>
  <c r="F254" i="5"/>
  <c r="F154" i="5"/>
  <c r="E97" i="5"/>
  <c r="I31" i="5"/>
  <c r="E188" i="5"/>
  <c r="G148" i="5"/>
  <c r="F132" i="5"/>
  <c r="H64" i="5"/>
  <c r="C137" i="5"/>
  <c r="G100" i="5"/>
  <c r="E246" i="5"/>
  <c r="C345" i="5"/>
  <c r="T345" i="5" s="1"/>
  <c r="G164" i="5"/>
  <c r="S164" i="5" s="1"/>
  <c r="G268" i="5"/>
  <c r="I172" i="5"/>
  <c r="D121" i="5"/>
  <c r="E54" i="5"/>
  <c r="F41" i="5"/>
  <c r="I167" i="5"/>
  <c r="T167" i="5" s="1"/>
  <c r="I145" i="5"/>
  <c r="T145" i="5" s="1"/>
  <c r="I78" i="5"/>
  <c r="T78" i="5" s="1"/>
  <c r="D151" i="5"/>
  <c r="H114" i="5"/>
  <c r="H106" i="5"/>
  <c r="H70" i="5"/>
  <c r="F28" i="5"/>
  <c r="I94" i="5"/>
  <c r="C57" i="5"/>
  <c r="T57" i="5" s="1"/>
  <c r="G20" i="5"/>
  <c r="S20" i="5" s="1"/>
  <c r="E310" i="5"/>
  <c r="H76" i="5"/>
  <c r="H308" i="5"/>
  <c r="I66" i="5"/>
  <c r="D229" i="5"/>
  <c r="C332" i="5"/>
  <c r="T332" i="5" s="1"/>
  <c r="F55" i="5"/>
  <c r="R55" i="5" s="1"/>
  <c r="H207" i="5"/>
  <c r="S207" i="5" s="1"/>
  <c r="F141" i="5"/>
  <c r="D135" i="5"/>
  <c r="F78" i="5"/>
  <c r="C27" i="5"/>
  <c r="E142" i="5"/>
  <c r="C70" i="5"/>
  <c r="T70" i="5" s="1"/>
  <c r="D31" i="5"/>
  <c r="G125" i="5"/>
  <c r="E373" i="5"/>
  <c r="D130" i="5"/>
  <c r="H241" i="5"/>
  <c r="G130" i="5"/>
  <c r="I325" i="5"/>
  <c r="H450" i="5"/>
  <c r="E101" i="5"/>
  <c r="H347" i="5"/>
  <c r="S347" i="5" s="1"/>
  <c r="D269" i="5"/>
  <c r="D169" i="5"/>
  <c r="F263" i="5"/>
  <c r="G178" i="5"/>
  <c r="G320" i="5"/>
  <c r="I418" i="5"/>
  <c r="T418" i="5" s="1"/>
  <c r="I185" i="5"/>
  <c r="T185" i="5" s="1"/>
  <c r="F27" i="5"/>
  <c r="C305" i="5"/>
  <c r="T305" i="5" s="1"/>
  <c r="H198" i="5"/>
  <c r="C176" i="5"/>
  <c r="F36" i="5"/>
  <c r="D287" i="5"/>
  <c r="I413" i="5"/>
  <c r="T413" i="5" s="1"/>
  <c r="D322" i="5"/>
  <c r="D277" i="5"/>
  <c r="G228" i="5"/>
  <c r="E73" i="5"/>
  <c r="H224" i="5"/>
  <c r="G129" i="5"/>
  <c r="C288" i="5"/>
  <c r="T288" i="5" s="1"/>
  <c r="C394" i="5"/>
  <c r="T394" i="5" s="1"/>
  <c r="I97" i="5"/>
  <c r="E70" i="5"/>
  <c r="D240" i="5"/>
  <c r="D120" i="5"/>
  <c r="H79" i="5"/>
  <c r="I34" i="5"/>
  <c r="F337" i="5"/>
  <c r="F436" i="5"/>
  <c r="G241" i="5"/>
  <c r="I89" i="5"/>
  <c r="S89" i="5" s="1"/>
  <c r="I349" i="5"/>
  <c r="H75" i="5"/>
  <c r="E219" i="5"/>
  <c r="H104" i="5"/>
  <c r="F168" i="5"/>
  <c r="C262" i="5"/>
  <c r="T262" i="5" s="1"/>
  <c r="G154" i="5"/>
  <c r="F260" i="5"/>
  <c r="O260" i="5" s="1"/>
  <c r="D359" i="5"/>
  <c r="D179" i="5"/>
  <c r="H282" i="5"/>
  <c r="G192" i="5"/>
  <c r="E149" i="5"/>
  <c r="D73" i="5"/>
  <c r="D65" i="5"/>
  <c r="C183" i="5"/>
  <c r="T183" i="5" s="1"/>
  <c r="D159" i="5"/>
  <c r="C94" i="5"/>
  <c r="H20" i="5"/>
  <c r="I128" i="5"/>
  <c r="G108" i="5"/>
  <c r="E238" i="5"/>
  <c r="G79" i="5"/>
  <c r="S79" i="5" s="1"/>
  <c r="I226" i="5"/>
  <c r="T226" i="5" s="1"/>
  <c r="E333" i="5"/>
  <c r="H137" i="5"/>
  <c r="I256" i="5"/>
  <c r="T256" i="5" s="1"/>
  <c r="F160" i="5"/>
  <c r="D102" i="5"/>
  <c r="E33" i="5"/>
  <c r="G23" i="5"/>
  <c r="S23" i="5" s="1"/>
  <c r="E155" i="5"/>
  <c r="C135" i="5"/>
  <c r="D68" i="5"/>
  <c r="F139" i="5"/>
  <c r="P139" i="5" s="1"/>
  <c r="C104" i="5"/>
  <c r="H51" i="5"/>
  <c r="C207" i="5"/>
  <c r="D40" i="5"/>
  <c r="F198" i="5"/>
  <c r="F307" i="5"/>
  <c r="H90" i="5"/>
  <c r="H226" i="5"/>
  <c r="I126" i="5"/>
  <c r="I71" i="5"/>
  <c r="C231" i="5"/>
  <c r="T231" i="5" s="1"/>
  <c r="I164" i="5"/>
  <c r="T164" i="5" s="1"/>
  <c r="H125" i="5"/>
  <c r="I91" i="5"/>
  <c r="E42" i="5"/>
  <c r="G113" i="5"/>
  <c r="D78" i="5"/>
  <c r="F219" i="5"/>
  <c r="G321" i="5"/>
  <c r="C119" i="5"/>
  <c r="T119" i="5" s="1"/>
  <c r="D246" i="5"/>
  <c r="I146" i="5"/>
  <c r="H92" i="5"/>
  <c r="E20" i="5"/>
  <c r="C180" i="5"/>
  <c r="T180" i="5" s="1"/>
  <c r="I137" i="5"/>
  <c r="E114" i="5"/>
  <c r="O114" i="5" s="1"/>
  <c r="F56" i="5"/>
  <c r="H127" i="5"/>
  <c r="E92" i="5"/>
  <c r="H82" i="5"/>
  <c r="E31" i="5"/>
  <c r="H144" i="5"/>
  <c r="F72" i="5"/>
  <c r="G33" i="5"/>
  <c r="E202" i="5"/>
  <c r="I286" i="5"/>
  <c r="C39" i="5"/>
  <c r="T39" i="5" s="1"/>
  <c r="E286" i="5"/>
  <c r="F17" i="5"/>
  <c r="G206" i="5"/>
  <c r="S206" i="5" s="1"/>
  <c r="G308" i="5"/>
  <c r="H211" i="5"/>
  <c r="D176" i="5"/>
  <c r="H119" i="5"/>
  <c r="F103" i="5"/>
  <c r="D50" i="5"/>
  <c r="G186" i="5"/>
  <c r="I118" i="5"/>
  <c r="G46" i="5"/>
  <c r="H154" i="5"/>
  <c r="E132" i="5"/>
  <c r="C123" i="5"/>
  <c r="T123" i="5" s="1"/>
  <c r="H255" i="5"/>
  <c r="D145" i="5"/>
  <c r="I90" i="5"/>
  <c r="E58" i="5"/>
  <c r="I247" i="5"/>
  <c r="I397" i="5"/>
  <c r="T397" i="5" s="1"/>
  <c r="H296" i="5"/>
  <c r="D230" i="5"/>
  <c r="F164" i="5"/>
  <c r="F426" i="5"/>
  <c r="E206" i="5"/>
  <c r="H86" i="5"/>
  <c r="I255" i="5"/>
  <c r="C371" i="5"/>
  <c r="T371" i="5" s="1"/>
  <c r="I366" i="5"/>
  <c r="E366" i="5"/>
  <c r="D194" i="5"/>
  <c r="C47" i="5"/>
  <c r="D161" i="5"/>
  <c r="Q161" i="5" s="1"/>
  <c r="H107" i="5"/>
  <c r="I214" i="5"/>
  <c r="E359" i="5"/>
  <c r="E269" i="5"/>
  <c r="H199" i="5"/>
  <c r="D89" i="5"/>
  <c r="G400" i="5"/>
  <c r="E179" i="5"/>
  <c r="C26" i="5"/>
  <c r="H219" i="5"/>
  <c r="E351" i="5"/>
  <c r="G318" i="5"/>
  <c r="C318" i="5"/>
  <c r="T318" i="5" s="1"/>
  <c r="F77" i="5"/>
  <c r="F161" i="5"/>
  <c r="I27" i="5"/>
  <c r="C144" i="5"/>
  <c r="H286" i="5"/>
  <c r="G390" i="5"/>
  <c r="S390" i="5" s="1"/>
  <c r="D95" i="5"/>
  <c r="H68" i="5"/>
  <c r="S68" i="5" s="1"/>
  <c r="G236" i="5"/>
  <c r="I102" i="5"/>
  <c r="F49" i="5"/>
  <c r="F32" i="5"/>
  <c r="G67" i="5"/>
  <c r="I209" i="5"/>
  <c r="T209" i="5" s="1"/>
  <c r="F53" i="5"/>
  <c r="G202" i="5"/>
  <c r="S202" i="5" s="1"/>
  <c r="E313" i="5"/>
  <c r="I111" i="5"/>
  <c r="G231" i="5"/>
  <c r="E134" i="5"/>
  <c r="I79" i="5"/>
  <c r="I235" i="5"/>
  <c r="H170" i="5"/>
  <c r="S170" i="5" s="1"/>
  <c r="F128" i="5"/>
  <c r="D100" i="5"/>
  <c r="D48" i="5"/>
  <c r="F119" i="5"/>
  <c r="C84" i="5"/>
  <c r="T84" i="5" s="1"/>
  <c r="H372" i="5"/>
  <c r="H176" i="5"/>
  <c r="D372" i="5"/>
  <c r="G161" i="5"/>
  <c r="F287" i="5"/>
  <c r="C40" i="5"/>
  <c r="F206" i="5"/>
  <c r="G91" i="5"/>
  <c r="E46" i="5"/>
  <c r="C211" i="5"/>
  <c r="T211" i="5" s="1"/>
  <c r="G146" i="5"/>
  <c r="H101" i="5"/>
  <c r="G56" i="5"/>
  <c r="E22" i="5"/>
  <c r="G93" i="5"/>
  <c r="S93" i="5" s="1"/>
  <c r="D58" i="5"/>
  <c r="I346" i="5"/>
  <c r="H138" i="5"/>
  <c r="S138" i="5" s="1"/>
  <c r="E346" i="5"/>
  <c r="F113" i="5"/>
  <c r="G261" i="5"/>
  <c r="G368" i="5"/>
  <c r="G139" i="5"/>
  <c r="S139" i="5" s="1"/>
  <c r="H56" i="5"/>
  <c r="D22" i="5"/>
  <c r="C184" i="5"/>
  <c r="I117" i="5"/>
  <c r="S117" i="5" s="1"/>
  <c r="C82" i="5"/>
  <c r="T82" i="5" s="1"/>
  <c r="I36" i="5"/>
  <c r="G106" i="5"/>
  <c r="H67" i="5"/>
  <c r="E32" i="5"/>
  <c r="I150" i="5"/>
  <c r="H275" i="5"/>
  <c r="S275" i="5" s="1"/>
  <c r="C19" i="5"/>
  <c r="T19" i="5" s="1"/>
  <c r="C166" i="5"/>
  <c r="T166" i="5" s="1"/>
  <c r="D69" i="5"/>
  <c r="F38" i="5"/>
  <c r="I196" i="5"/>
  <c r="F138" i="5"/>
  <c r="C89" i="5"/>
  <c r="I46" i="5"/>
  <c r="H120" i="5"/>
  <c r="S120" i="5" s="1"/>
  <c r="I81" i="5"/>
  <c r="T81" i="5" s="1"/>
  <c r="F46" i="5"/>
  <c r="I187" i="5"/>
  <c r="G166" i="5"/>
  <c r="S166" i="5" s="1"/>
  <c r="I98" i="5"/>
  <c r="G26" i="5"/>
  <c r="H134" i="5"/>
  <c r="E129" i="5"/>
  <c r="I240" i="5"/>
  <c r="S240" i="5" s="1"/>
  <c r="F117" i="5"/>
  <c r="H231" i="5"/>
  <c r="D339" i="5"/>
  <c r="D143" i="5"/>
  <c r="H262" i="5"/>
  <c r="H164" i="5"/>
  <c r="F108" i="5"/>
  <c r="C38" i="5"/>
  <c r="T38" i="5" s="1"/>
  <c r="H31" i="5"/>
  <c r="C163" i="5"/>
  <c r="C143" i="5"/>
  <c r="T143" i="5" s="1"/>
  <c r="C74" i="5"/>
  <c r="E145" i="5"/>
  <c r="I108" i="5"/>
  <c r="T172" i="5"/>
  <c r="T351" i="5"/>
  <c r="T234" i="5"/>
  <c r="T537" i="5"/>
  <c r="S537" i="5"/>
  <c r="S312" i="5"/>
  <c r="S459" i="5"/>
  <c r="S425" i="5"/>
  <c r="T502" i="5"/>
  <c r="T58" i="5"/>
  <c r="T181" i="5"/>
  <c r="T540" i="5"/>
  <c r="T493" i="5"/>
  <c r="T33" i="5"/>
  <c r="T324" i="5"/>
  <c r="S308" i="5"/>
  <c r="S301" i="5"/>
  <c r="S182" i="5"/>
  <c r="T295" i="5"/>
  <c r="T302" i="5"/>
  <c r="S267" i="5"/>
  <c r="T445" i="5"/>
  <c r="S72" i="5"/>
  <c r="T72" i="5"/>
  <c r="S528" i="5"/>
  <c r="S368" i="5"/>
  <c r="S238" i="5"/>
  <c r="T106" i="5"/>
  <c r="T473" i="5"/>
  <c r="S149" i="5"/>
  <c r="S66" i="5"/>
  <c r="T365" i="5"/>
  <c r="S159" i="5"/>
  <c r="T198" i="5"/>
  <c r="S246" i="5"/>
  <c r="S266" i="5"/>
  <c r="S132" i="5"/>
  <c r="S507" i="5"/>
  <c r="S503" i="5"/>
  <c r="S419" i="5"/>
  <c r="S295" i="5"/>
  <c r="S479" i="5"/>
  <c r="S498" i="5"/>
  <c r="S513" i="5"/>
  <c r="T551" i="5"/>
  <c r="S143" i="5"/>
  <c r="S151" i="5"/>
  <c r="T69" i="5"/>
  <c r="S477" i="5"/>
  <c r="T34" i="5"/>
  <c r="S107" i="5"/>
  <c r="S118" i="5"/>
  <c r="S497" i="5"/>
  <c r="S457" i="5"/>
  <c r="S61" i="5"/>
  <c r="S299" i="5"/>
  <c r="S467" i="5"/>
  <c r="S416" i="5"/>
  <c r="S350" i="5"/>
  <c r="S277" i="5"/>
  <c r="S148" i="5"/>
  <c r="S225" i="5"/>
  <c r="S126" i="5"/>
  <c r="S103" i="5"/>
  <c r="S283" i="5"/>
  <c r="S377" i="5"/>
  <c r="S343" i="5"/>
  <c r="S385" i="5"/>
  <c r="S504" i="5"/>
  <c r="S330" i="5"/>
  <c r="S558" i="5"/>
  <c r="S440" i="5"/>
  <c r="S441" i="5"/>
  <c r="S111" i="5"/>
  <c r="S234" i="5"/>
  <c r="S75" i="5"/>
  <c r="S171" i="5"/>
  <c r="S379" i="5"/>
  <c r="S276" i="5"/>
  <c r="S40" i="5"/>
  <c r="T64" i="5"/>
  <c r="S191" i="5"/>
  <c r="S281" i="5"/>
  <c r="S362" i="5"/>
  <c r="S248" i="5"/>
  <c r="S353" i="5"/>
  <c r="S247" i="5"/>
  <c r="T503" i="5"/>
  <c r="S516" i="5"/>
  <c r="S492" i="5"/>
  <c r="S533" i="5"/>
  <c r="S252" i="5"/>
  <c r="S115" i="5"/>
  <c r="T171" i="5"/>
  <c r="S187" i="5"/>
  <c r="S25" i="5"/>
  <c r="S88" i="5"/>
  <c r="S490" i="5"/>
  <c r="S443" i="5"/>
  <c r="S229" i="5"/>
  <c r="T279" i="5"/>
  <c r="S529" i="5"/>
  <c r="S236" i="5"/>
  <c r="T128" i="5"/>
  <c r="T374" i="5"/>
  <c r="S198" i="5"/>
  <c r="T323" i="5"/>
  <c r="S480" i="5"/>
  <c r="T281" i="5"/>
  <c r="T558" i="5"/>
  <c r="S325" i="5"/>
  <c r="T91" i="5"/>
  <c r="S356" i="5"/>
  <c r="S538" i="5"/>
  <c r="T63" i="5"/>
  <c r="S215" i="5"/>
  <c r="T349" i="5"/>
  <c r="T301" i="5"/>
  <c r="S224" i="5"/>
  <c r="T225" i="5"/>
  <c r="T519" i="5"/>
  <c r="T504" i="5"/>
  <c r="S70" i="5"/>
  <c r="S255" i="5"/>
  <c r="S355" i="5"/>
  <c r="S455" i="5"/>
  <c r="S462" i="5"/>
  <c r="S349" i="5"/>
  <c r="S518" i="5"/>
  <c r="S297" i="5"/>
  <c r="S501" i="5"/>
  <c r="T455" i="5"/>
  <c r="S475" i="5"/>
  <c r="S505" i="5"/>
  <c r="T444" i="5"/>
  <c r="Q50" i="5"/>
  <c r="R50" i="5"/>
  <c r="O50" i="5"/>
  <c r="P50" i="5"/>
  <c r="Q78" i="5"/>
  <c r="O78" i="5"/>
  <c r="P78" i="5"/>
  <c r="Q68" i="5"/>
  <c r="R68" i="5"/>
  <c r="O68" i="5"/>
  <c r="P68" i="5"/>
  <c r="R159" i="5"/>
  <c r="O159" i="5"/>
  <c r="Q159" i="5"/>
  <c r="P159" i="5"/>
  <c r="Q240" i="5"/>
  <c r="O240" i="5"/>
  <c r="P240" i="5"/>
  <c r="R240" i="5"/>
  <c r="O287" i="5"/>
  <c r="P287" i="5"/>
  <c r="Q287" i="5"/>
  <c r="T203" i="5"/>
  <c r="O309" i="5"/>
  <c r="Q421" i="5"/>
  <c r="P421" i="5"/>
  <c r="O421" i="5"/>
  <c r="T75" i="5"/>
  <c r="Q313" i="5"/>
  <c r="R313" i="5"/>
  <c r="O313" i="5"/>
  <c r="P313" i="5"/>
  <c r="R141" i="5"/>
  <c r="O141" i="5"/>
  <c r="P141" i="5"/>
  <c r="Q141" i="5"/>
  <c r="Q318" i="5"/>
  <c r="P318" i="5"/>
  <c r="O318" i="5"/>
  <c r="T182" i="5"/>
  <c r="R139" i="5"/>
  <c r="Q139" i="5"/>
  <c r="O139" i="5"/>
  <c r="T453" i="5"/>
  <c r="P482" i="5"/>
  <c r="Q302" i="5"/>
  <c r="O302" i="5"/>
  <c r="P302" i="5"/>
  <c r="T71" i="5"/>
  <c r="Q204" i="5"/>
  <c r="Q369" i="5"/>
  <c r="R369" i="5"/>
  <c r="P369" i="5"/>
  <c r="O369" i="5"/>
  <c r="Q392" i="5"/>
  <c r="P392" i="5"/>
  <c r="O392" i="5"/>
  <c r="R392" i="5"/>
  <c r="O249" i="5"/>
  <c r="R249" i="5"/>
  <c r="Q249" i="5"/>
  <c r="P249" i="5"/>
  <c r="P525" i="5"/>
  <c r="R525" i="5"/>
  <c r="O525" i="5"/>
  <c r="Q525" i="5"/>
  <c r="Q512" i="5"/>
  <c r="O512" i="5"/>
  <c r="P512" i="5"/>
  <c r="T463" i="5"/>
  <c r="T459" i="5"/>
  <c r="R381" i="5"/>
  <c r="Q381" i="5"/>
  <c r="O381" i="5"/>
  <c r="P381" i="5"/>
  <c r="Q553" i="5"/>
  <c r="R553" i="5"/>
  <c r="O553" i="5"/>
  <c r="P553" i="5"/>
  <c r="P365" i="5"/>
  <c r="Q365" i="5"/>
  <c r="O365" i="5"/>
  <c r="T559" i="5"/>
  <c r="T303" i="5"/>
  <c r="T308" i="5"/>
  <c r="O452" i="5"/>
  <c r="Q452" i="5"/>
  <c r="P452" i="5"/>
  <c r="O528" i="5"/>
  <c r="R528" i="5"/>
  <c r="P528" i="5"/>
  <c r="Q528" i="5"/>
  <c r="T137" i="5"/>
  <c r="R44" i="5"/>
  <c r="O44" i="5"/>
  <c r="P44" i="5"/>
  <c r="Q44" i="5"/>
  <c r="T356" i="5"/>
  <c r="P147" i="5"/>
  <c r="Q147" i="5"/>
  <c r="R147" i="5"/>
  <c r="O147" i="5"/>
  <c r="Q296" i="5"/>
  <c r="P296" i="5"/>
  <c r="O296" i="5"/>
  <c r="O496" i="5"/>
  <c r="Q496" i="5"/>
  <c r="P496" i="5"/>
  <c r="T480" i="5"/>
  <c r="T267" i="5"/>
  <c r="O415" i="5"/>
  <c r="R415" i="5"/>
  <c r="P415" i="5"/>
  <c r="Q415" i="5"/>
  <c r="R558" i="5"/>
  <c r="O558" i="5"/>
  <c r="Q558" i="5"/>
  <c r="P558" i="5"/>
  <c r="O458" i="5"/>
  <c r="P458" i="5"/>
  <c r="Q458" i="5"/>
  <c r="T554" i="5"/>
  <c r="O519" i="5"/>
  <c r="P519" i="5"/>
  <c r="Q519" i="5"/>
  <c r="R519" i="5"/>
  <c r="T484" i="5"/>
  <c r="O453" i="5"/>
  <c r="Q453" i="5"/>
  <c r="P453" i="5"/>
  <c r="R453" i="5"/>
  <c r="Q559" i="5"/>
  <c r="P559" i="5"/>
  <c r="R559" i="5"/>
  <c r="O559" i="5"/>
  <c r="Q462" i="5"/>
  <c r="O462" i="5"/>
  <c r="R462" i="5"/>
  <c r="P462" i="5"/>
  <c r="O407" i="5"/>
  <c r="P407" i="5"/>
  <c r="R407" i="5"/>
  <c r="Q407" i="5"/>
  <c r="T310" i="5"/>
  <c r="Q560" i="5"/>
  <c r="P560" i="5"/>
  <c r="O560" i="5"/>
  <c r="P409" i="5"/>
  <c r="O58" i="5"/>
  <c r="R58" i="5"/>
  <c r="P58" i="5"/>
  <c r="Q58" i="5"/>
  <c r="P45" i="5"/>
  <c r="Q45" i="5"/>
  <c r="O45" i="5"/>
  <c r="Q379" i="5"/>
  <c r="O379" i="5"/>
  <c r="R379" i="5"/>
  <c r="P379" i="5"/>
  <c r="Q325" i="5"/>
  <c r="P325" i="5"/>
  <c r="R325" i="5"/>
  <c r="O325" i="5"/>
  <c r="T158" i="5"/>
  <c r="T36" i="5"/>
  <c r="T115" i="5"/>
  <c r="O34" i="5"/>
  <c r="P34" i="5"/>
  <c r="Q34" i="5"/>
  <c r="R34" i="5"/>
  <c r="Q199" i="5"/>
  <c r="P199" i="5"/>
  <c r="O199" i="5"/>
  <c r="Q389" i="5"/>
  <c r="P389" i="5"/>
  <c r="O389" i="5"/>
  <c r="T150" i="5"/>
  <c r="Q484" i="5"/>
  <c r="O274" i="5"/>
  <c r="Q274" i="5"/>
  <c r="P274" i="5"/>
  <c r="R274" i="5"/>
  <c r="Q461" i="5"/>
  <c r="O461" i="5"/>
  <c r="P461" i="5"/>
  <c r="T490" i="5"/>
  <c r="T121" i="5"/>
  <c r="Q39" i="5"/>
  <c r="P39" i="5"/>
  <c r="O39" i="5"/>
  <c r="Q227" i="5"/>
  <c r="P300" i="5"/>
  <c r="T555" i="5"/>
  <c r="T383" i="5"/>
  <c r="T107" i="5"/>
  <c r="T396" i="5"/>
  <c r="T326" i="5"/>
  <c r="P551" i="5"/>
  <c r="Q551" i="5"/>
  <c r="R551" i="5"/>
  <c r="O551" i="5"/>
  <c r="P342" i="5"/>
  <c r="O342" i="5"/>
  <c r="Q342" i="5"/>
  <c r="T400" i="5"/>
  <c r="T377" i="5"/>
  <c r="T539" i="5"/>
  <c r="T214" i="5"/>
  <c r="Q208" i="5"/>
  <c r="O208" i="5"/>
  <c r="P208" i="5"/>
  <c r="R440" i="5"/>
  <c r="Q440" i="5"/>
  <c r="O440" i="5"/>
  <c r="P440" i="5"/>
  <c r="T206" i="5"/>
  <c r="T66" i="5"/>
  <c r="T90" i="5"/>
  <c r="T352" i="5"/>
  <c r="T245" i="5"/>
  <c r="T264" i="5"/>
  <c r="T199" i="5"/>
  <c r="P47" i="5"/>
  <c r="O47" i="5"/>
  <c r="Q47" i="5"/>
  <c r="Q142" i="5"/>
  <c r="P142" i="5"/>
  <c r="O142" i="5"/>
  <c r="P46" i="5"/>
  <c r="Q388" i="5"/>
  <c r="Q60" i="5"/>
  <c r="R60" i="5"/>
  <c r="P60" i="5"/>
  <c r="O60" i="5"/>
  <c r="P215" i="5"/>
  <c r="O487" i="5"/>
  <c r="R239" i="5"/>
  <c r="O239" i="5"/>
  <c r="P239" i="5"/>
  <c r="Q239" i="5"/>
  <c r="T251" i="5"/>
  <c r="T529" i="5"/>
  <c r="R455" i="5"/>
  <c r="P455" i="5"/>
  <c r="Q455" i="5"/>
  <c r="O455" i="5"/>
  <c r="O66" i="5"/>
  <c r="P66" i="5"/>
  <c r="R66" i="5"/>
  <c r="Q66" i="5"/>
  <c r="T430" i="5"/>
  <c r="T312" i="5"/>
  <c r="Q160" i="5"/>
  <c r="R160" i="5"/>
  <c r="P160" i="5"/>
  <c r="O160" i="5"/>
  <c r="R460" i="5"/>
  <c r="P460" i="5"/>
  <c r="O460" i="5"/>
  <c r="Q460" i="5"/>
  <c r="T152" i="5"/>
  <c r="Q540" i="5"/>
  <c r="O540" i="5"/>
  <c r="P540" i="5"/>
  <c r="T68" i="5"/>
  <c r="T438" i="5"/>
  <c r="Q555" i="5"/>
  <c r="O555" i="5"/>
  <c r="P555" i="5"/>
  <c r="T507" i="5"/>
  <c r="T153" i="5"/>
  <c r="T283" i="5"/>
  <c r="T385" i="5"/>
  <c r="T457" i="5"/>
  <c r="Q431" i="5"/>
  <c r="O431" i="5"/>
  <c r="R431" i="5"/>
  <c r="P431" i="5"/>
  <c r="Q521" i="5"/>
  <c r="P521" i="5"/>
  <c r="R521" i="5"/>
  <c r="O521" i="5"/>
  <c r="T417" i="5"/>
  <c r="P281" i="5"/>
  <c r="T315" i="5"/>
  <c r="R433" i="5"/>
  <c r="O433" i="5"/>
  <c r="Q433" i="5"/>
  <c r="P433" i="5"/>
  <c r="T422" i="5"/>
  <c r="T421" i="5"/>
  <c r="Q438" i="5"/>
  <c r="P438" i="5"/>
  <c r="R438" i="5"/>
  <c r="O438" i="5"/>
  <c r="T247" i="5"/>
  <c r="Q22" i="5"/>
  <c r="P22" i="5"/>
  <c r="O22" i="5"/>
  <c r="R89" i="5"/>
  <c r="Q89" i="5"/>
  <c r="O89" i="5"/>
  <c r="P89" i="5"/>
  <c r="Q500" i="5"/>
  <c r="O500" i="5"/>
  <c r="P500" i="5"/>
  <c r="T388" i="5"/>
  <c r="P470" i="5"/>
  <c r="Q470" i="5"/>
  <c r="R470" i="5"/>
  <c r="O470" i="5"/>
  <c r="T37" i="5"/>
  <c r="R148" i="5"/>
  <c r="O148" i="5"/>
  <c r="Q148" i="5"/>
  <c r="P148" i="5"/>
  <c r="T168" i="5"/>
  <c r="T350" i="5"/>
  <c r="O380" i="5"/>
  <c r="P380" i="5"/>
  <c r="Q336" i="5"/>
  <c r="P104" i="5"/>
  <c r="O104" i="5"/>
  <c r="Q104" i="5"/>
  <c r="Q36" i="5"/>
  <c r="O36" i="5"/>
  <c r="P36" i="5"/>
  <c r="T297" i="5"/>
  <c r="T389" i="5"/>
  <c r="T347" i="5"/>
  <c r="Q140" i="5"/>
  <c r="O140" i="5"/>
  <c r="P140" i="5"/>
  <c r="T197" i="5"/>
  <c r="T284" i="5"/>
  <c r="P283" i="5"/>
  <c r="R283" i="5"/>
  <c r="O283" i="5"/>
  <c r="Q283" i="5"/>
  <c r="R475" i="5"/>
  <c r="R103" i="5"/>
  <c r="Q362" i="5"/>
  <c r="O362" i="5"/>
  <c r="P362" i="5"/>
  <c r="R362" i="5"/>
  <c r="Q495" i="5"/>
  <c r="O495" i="5"/>
  <c r="P495" i="5"/>
  <c r="T118" i="5"/>
  <c r="Q501" i="5"/>
  <c r="R501" i="5"/>
  <c r="P501" i="5"/>
  <c r="O501" i="5"/>
  <c r="Q532" i="5"/>
  <c r="O532" i="5"/>
  <c r="R532" i="5"/>
  <c r="P532" i="5"/>
  <c r="R480" i="5"/>
  <c r="Q480" i="5"/>
  <c r="P480" i="5"/>
  <c r="O480" i="5"/>
  <c r="T238" i="5"/>
  <c r="R492" i="5"/>
  <c r="O492" i="5"/>
  <c r="Q492" i="5"/>
  <c r="P492" i="5"/>
  <c r="T433" i="5"/>
  <c r="R100" i="5"/>
  <c r="P100" i="5"/>
  <c r="Q100" i="5"/>
  <c r="O100" i="5"/>
  <c r="Q343" i="5"/>
  <c r="O343" i="5"/>
  <c r="P343" i="5"/>
  <c r="R343" i="5"/>
  <c r="R174" i="5"/>
  <c r="Q174" i="5"/>
  <c r="O174" i="5"/>
  <c r="P174" i="5"/>
  <c r="Q84" i="5"/>
  <c r="R84" i="5"/>
  <c r="O84" i="5"/>
  <c r="P84" i="5"/>
  <c r="R149" i="5"/>
  <c r="O149" i="5"/>
  <c r="Q149" i="5"/>
  <c r="P149" i="5"/>
  <c r="T322" i="5"/>
  <c r="P111" i="5"/>
  <c r="O111" i="5"/>
  <c r="Q111" i="5"/>
  <c r="R111" i="5"/>
  <c r="T304" i="5"/>
  <c r="P80" i="5"/>
  <c r="Q80" i="5"/>
  <c r="O80" i="5"/>
  <c r="Q311" i="5"/>
  <c r="P311" i="5"/>
  <c r="R311" i="5"/>
  <c r="O311" i="5"/>
  <c r="Q451" i="5"/>
  <c r="O451" i="5"/>
  <c r="P451" i="5"/>
  <c r="R451" i="5"/>
  <c r="R220" i="5"/>
  <c r="Q220" i="5"/>
  <c r="O220" i="5"/>
  <c r="P220" i="5"/>
  <c r="Q387" i="5"/>
  <c r="O387" i="5"/>
  <c r="P387" i="5"/>
  <c r="Q222" i="5"/>
  <c r="R222" i="5"/>
  <c r="P222" i="5"/>
  <c r="O222" i="5"/>
  <c r="Q305" i="5"/>
  <c r="O305" i="5"/>
  <c r="P305" i="5"/>
  <c r="Q489" i="5"/>
  <c r="P489" i="5"/>
  <c r="O489" i="5"/>
  <c r="T120" i="5"/>
  <c r="Q43" i="5"/>
  <c r="P43" i="5"/>
  <c r="R43" i="5"/>
  <c r="O43" i="5"/>
  <c r="T307" i="5"/>
  <c r="O547" i="5"/>
  <c r="P547" i="5"/>
  <c r="Q547" i="5"/>
  <c r="P406" i="5"/>
  <c r="P96" i="5"/>
  <c r="T429" i="5"/>
  <c r="T287" i="5"/>
  <c r="P333" i="5"/>
  <c r="R427" i="5"/>
  <c r="P427" i="5"/>
  <c r="T112" i="5"/>
  <c r="Q488" i="5"/>
  <c r="P488" i="5"/>
  <c r="O488" i="5"/>
  <c r="R488" i="5"/>
  <c r="Q520" i="5"/>
  <c r="O191" i="5"/>
  <c r="Q191" i="5"/>
  <c r="R191" i="5"/>
  <c r="P191" i="5"/>
  <c r="P363" i="5"/>
  <c r="Q363" i="5"/>
  <c r="O363" i="5"/>
  <c r="R363" i="5"/>
  <c r="O213" i="5"/>
  <c r="T187" i="5"/>
  <c r="P163" i="5"/>
  <c r="Q163" i="5"/>
  <c r="T79" i="5"/>
  <c r="P201" i="5"/>
  <c r="O201" i="5"/>
  <c r="Q201" i="5"/>
  <c r="T139" i="5"/>
  <c r="O247" i="5"/>
  <c r="P247" i="5"/>
  <c r="Q247" i="5"/>
  <c r="R247" i="5"/>
  <c r="Q293" i="5"/>
  <c r="Q289" i="5"/>
  <c r="O289" i="5"/>
  <c r="P289" i="5"/>
  <c r="O319" i="5"/>
  <c r="R107" i="5"/>
  <c r="P107" i="5"/>
  <c r="Q255" i="5"/>
  <c r="R255" i="5"/>
  <c r="O255" i="5"/>
  <c r="P255" i="5"/>
  <c r="Q538" i="5"/>
  <c r="P538" i="5"/>
  <c r="O538" i="5"/>
  <c r="Q257" i="5"/>
  <c r="O257" i="5"/>
  <c r="R257" i="5"/>
  <c r="P257" i="5"/>
  <c r="Q131" i="5"/>
  <c r="O21" i="5"/>
  <c r="P21" i="5"/>
  <c r="Q21" i="5"/>
  <c r="Q373" i="5"/>
  <c r="P373" i="5"/>
  <c r="O373" i="5"/>
  <c r="T148" i="5"/>
  <c r="P530" i="5"/>
  <c r="R530" i="5"/>
  <c r="Q530" i="5"/>
  <c r="O530" i="5"/>
  <c r="O178" i="5"/>
  <c r="P178" i="5"/>
  <c r="R178" i="5"/>
  <c r="Q178" i="5"/>
  <c r="T398" i="5"/>
  <c r="T512" i="5"/>
  <c r="T409" i="5"/>
  <c r="Q183" i="5"/>
  <c r="O183" i="5"/>
  <c r="P183" i="5"/>
  <c r="P182" i="5"/>
  <c r="T405" i="5"/>
  <c r="P493" i="5"/>
  <c r="T402" i="5"/>
  <c r="T547" i="5"/>
  <c r="Q457" i="5"/>
  <c r="P457" i="5"/>
  <c r="R457" i="5"/>
  <c r="O457" i="5"/>
  <c r="P99" i="5"/>
  <c r="O99" i="5"/>
  <c r="Q99" i="5"/>
  <c r="T454" i="5"/>
  <c r="O450" i="5"/>
  <c r="Q450" i="5"/>
  <c r="P450" i="5"/>
  <c r="R450" i="5"/>
  <c r="R119" i="5" l="1"/>
  <c r="T144" i="5"/>
  <c r="S254" i="5"/>
  <c r="P508" i="5"/>
  <c r="T501" i="5"/>
  <c r="P510" i="5"/>
  <c r="T47" i="5"/>
  <c r="S109" i="5"/>
  <c r="Q117" i="5"/>
  <c r="T325" i="5"/>
  <c r="O156" i="5"/>
  <c r="T65" i="5"/>
  <c r="T188" i="5"/>
  <c r="T399" i="5"/>
  <c r="Q344" i="5"/>
  <c r="S261" i="5"/>
  <c r="S205" i="5"/>
  <c r="S158" i="5"/>
  <c r="S326" i="5"/>
  <c r="T147" i="5"/>
  <c r="O186" i="5"/>
  <c r="S231" i="5"/>
  <c r="T366" i="5"/>
  <c r="T174" i="5"/>
  <c r="S400" i="5"/>
  <c r="O17" i="5"/>
  <c r="S162" i="5"/>
  <c r="S388" i="5"/>
  <c r="S430" i="5"/>
  <c r="S484" i="5"/>
  <c r="S29" i="5"/>
  <c r="T215" i="5"/>
  <c r="T276" i="5"/>
  <c r="S485" i="5"/>
  <c r="R428" i="5"/>
  <c r="T272" i="5"/>
  <c r="O279" i="5"/>
  <c r="T244" i="5"/>
  <c r="S514" i="5"/>
  <c r="T431" i="5"/>
  <c r="S493" i="5"/>
  <c r="T497" i="5"/>
  <c r="O390" i="5"/>
  <c r="R542" i="5"/>
  <c r="P226" i="5"/>
  <c r="T432" i="5"/>
  <c r="S282" i="5"/>
  <c r="S34" i="5"/>
  <c r="S329" i="5"/>
  <c r="S251" i="5"/>
  <c r="S520" i="5"/>
  <c r="S105" i="5"/>
  <c r="S223" i="5"/>
  <c r="S197" i="5"/>
  <c r="S395" i="5"/>
  <c r="S292" i="5"/>
  <c r="S426" i="5"/>
  <c r="T248" i="5"/>
  <c r="S193" i="5"/>
  <c r="S554" i="5"/>
  <c r="S422" i="5"/>
  <c r="S257" i="5"/>
  <c r="T189" i="5"/>
  <c r="S228" i="5"/>
  <c r="S332" i="5"/>
  <c r="T45" i="5"/>
  <c r="T381" i="5"/>
  <c r="Q214" i="5"/>
  <c r="T415" i="5"/>
  <c r="Q408" i="5"/>
  <c r="R377" i="5"/>
  <c r="T95" i="5"/>
  <c r="S163" i="5"/>
  <c r="O417" i="5"/>
  <c r="O437" i="5"/>
  <c r="T528" i="5"/>
  <c r="S517" i="5"/>
  <c r="T280" i="5"/>
  <c r="T357" i="5"/>
  <c r="S98" i="5"/>
  <c r="T376" i="5"/>
  <c r="R250" i="5"/>
  <c r="S204" i="5"/>
  <c r="S376" i="5"/>
  <c r="S333" i="5"/>
  <c r="Q364" i="5"/>
  <c r="T23" i="5"/>
  <c r="S219" i="5"/>
  <c r="R216" i="5"/>
  <c r="Q209" i="5"/>
  <c r="S289" i="5"/>
  <c r="S418" i="5"/>
  <c r="S242" i="5"/>
  <c r="S408" i="5"/>
  <c r="O523" i="5"/>
  <c r="P464" i="5"/>
  <c r="T229" i="5"/>
  <c r="Q67" i="5"/>
  <c r="S345" i="5"/>
  <c r="S65" i="5"/>
  <c r="R221" i="5"/>
  <c r="R506" i="5"/>
  <c r="O200" i="5"/>
  <c r="S402" i="5"/>
  <c r="T462" i="5"/>
  <c r="S495" i="5"/>
  <c r="T73" i="5"/>
  <c r="Q493" i="5"/>
  <c r="R195" i="5"/>
  <c r="O91" i="5"/>
  <c r="S129" i="5"/>
  <c r="T489" i="5"/>
  <c r="S121" i="5"/>
  <c r="T498" i="5"/>
  <c r="T173" i="5"/>
  <c r="S415" i="5"/>
  <c r="S531" i="5"/>
  <c r="S463" i="5"/>
  <c r="R21" i="5"/>
  <c r="Q210" i="5"/>
  <c r="T482" i="5"/>
  <c r="S46" i="5"/>
  <c r="P554" i="5"/>
  <c r="S454" i="5"/>
  <c r="S211" i="5"/>
  <c r="T265" i="5"/>
  <c r="S235" i="5"/>
  <c r="T410" i="5"/>
  <c r="T260" i="5"/>
  <c r="S269" i="5"/>
  <c r="S417" i="5"/>
  <c r="S135" i="5"/>
  <c r="T449" i="5"/>
  <c r="T277" i="5"/>
  <c r="S522" i="5"/>
  <c r="T518" i="5"/>
  <c r="S547" i="5"/>
  <c r="S351" i="5"/>
  <c r="O383" i="5"/>
  <c r="S519" i="5"/>
  <c r="S38" i="5"/>
  <c r="S173" i="5"/>
  <c r="S449" i="5"/>
  <c r="Q446" i="5"/>
  <c r="S263" i="5"/>
  <c r="S444" i="5"/>
  <c r="Q448" i="5"/>
  <c r="Q345" i="5"/>
  <c r="T452" i="5"/>
  <c r="S16" i="5"/>
  <c r="S453" i="5"/>
  <c r="S154" i="5"/>
  <c r="S53" i="5"/>
  <c r="S17" i="5"/>
  <c r="S43" i="5"/>
  <c r="S108" i="5"/>
  <c r="O19" i="5"/>
  <c r="T43" i="5"/>
  <c r="S137" i="5"/>
  <c r="S91" i="5"/>
  <c r="T26" i="5"/>
  <c r="S92" i="5"/>
  <c r="T298" i="5"/>
  <c r="Q254" i="5"/>
  <c r="R290" i="5"/>
  <c r="Q107" i="5"/>
  <c r="R23" i="5"/>
  <c r="S521" i="5"/>
  <c r="S67" i="5"/>
  <c r="S180" i="5"/>
  <c r="S401" i="5"/>
  <c r="T108" i="5"/>
  <c r="R232" i="5"/>
  <c r="P308" i="5"/>
  <c r="S412" i="5"/>
  <c r="S123" i="5"/>
  <c r="P270" i="5"/>
  <c r="S447" i="5"/>
  <c r="S352" i="5"/>
  <c r="Q534" i="5"/>
  <c r="P197" i="5"/>
  <c r="R331" i="5"/>
  <c r="S210" i="5"/>
  <c r="S172" i="5"/>
  <c r="T88" i="5"/>
  <c r="S405" i="5"/>
  <c r="S310" i="5"/>
  <c r="T549" i="5"/>
  <c r="T165" i="5"/>
  <c r="R201" i="5"/>
  <c r="Q503" i="5"/>
  <c r="Q164" i="5"/>
  <c r="O374" i="5"/>
  <c r="T514" i="5"/>
  <c r="S399" i="5"/>
  <c r="S409" i="5"/>
  <c r="P434" i="5"/>
  <c r="S373" i="5"/>
  <c r="T258" i="5"/>
  <c r="S556" i="5"/>
  <c r="S524" i="5"/>
  <c r="S552" i="5"/>
  <c r="T386" i="5"/>
  <c r="T348" i="5"/>
  <c r="T533" i="5"/>
  <c r="T521" i="5"/>
  <c r="S413" i="5"/>
  <c r="T391" i="5"/>
  <c r="P314" i="5"/>
  <c r="R471" i="5"/>
  <c r="S359" i="5"/>
  <c r="S290" i="5"/>
  <c r="R77" i="5"/>
  <c r="S369" i="5"/>
  <c r="P336" i="5"/>
  <c r="R353" i="5"/>
  <c r="T496" i="5"/>
  <c r="S84" i="5"/>
  <c r="T202" i="5"/>
  <c r="O533" i="5"/>
  <c r="S360" i="5"/>
  <c r="S56" i="5"/>
  <c r="S364" i="5"/>
  <c r="S311" i="5"/>
  <c r="T346" i="5"/>
  <c r="T46" i="5"/>
  <c r="S253" i="5"/>
  <c r="P316" i="5"/>
  <c r="S259" i="5"/>
  <c r="S328" i="5"/>
  <c r="S553" i="5"/>
  <c r="P164" i="5"/>
  <c r="S214" i="5"/>
  <c r="Q196" i="5"/>
  <c r="S320" i="5"/>
  <c r="T125" i="5"/>
  <c r="O307" i="5"/>
  <c r="T255" i="5"/>
  <c r="S315" i="5"/>
  <c r="R106" i="5"/>
  <c r="Q315" i="5"/>
  <c r="P192" i="5"/>
  <c r="R136" i="5"/>
  <c r="R115" i="5"/>
  <c r="S99" i="5"/>
  <c r="P48" i="5"/>
  <c r="S525" i="5"/>
  <c r="O173" i="5"/>
  <c r="S218" i="5"/>
  <c r="R537" i="5"/>
  <c r="T191" i="5"/>
  <c r="T508" i="5"/>
  <c r="Q443" i="5"/>
  <c r="T369" i="5"/>
  <c r="S19" i="5"/>
  <c r="R208" i="5"/>
  <c r="S550" i="5"/>
  <c r="S541" i="5"/>
  <c r="R350" i="5"/>
  <c r="S323" i="5"/>
  <c r="Q329" i="5"/>
  <c r="S262" i="5"/>
  <c r="S69" i="5"/>
  <c r="P419" i="5"/>
  <c r="S510" i="5"/>
  <c r="O405" i="5"/>
  <c r="S244" i="5"/>
  <c r="S429" i="5"/>
  <c r="T55" i="5"/>
  <c r="S62" i="5"/>
  <c r="O258" i="5"/>
  <c r="P126" i="5"/>
  <c r="S438" i="5"/>
  <c r="S445" i="5"/>
  <c r="S549" i="5"/>
  <c r="S293" i="5"/>
  <c r="T329" i="5"/>
  <c r="S291" i="5"/>
  <c r="S374" i="5"/>
  <c r="S499" i="5"/>
  <c r="O486" i="5"/>
  <c r="R153" i="5"/>
  <c r="O394" i="5"/>
  <c r="S37" i="5"/>
  <c r="T387" i="5"/>
  <c r="R87" i="5"/>
  <c r="T98" i="5"/>
  <c r="S106" i="5"/>
  <c r="S128" i="5"/>
  <c r="P154" i="5"/>
  <c r="S95" i="5"/>
  <c r="S54" i="5"/>
  <c r="S336" i="5"/>
  <c r="T31" i="5"/>
  <c r="R472" i="5"/>
  <c r="R110" i="5"/>
  <c r="Q299" i="5"/>
  <c r="P19" i="5"/>
  <c r="R390" i="5"/>
  <c r="O119" i="5"/>
  <c r="Q510" i="5"/>
  <c r="R434" i="5"/>
  <c r="R131" i="5"/>
  <c r="P152" i="5"/>
  <c r="R423" i="5"/>
  <c r="R210" i="5"/>
  <c r="R454" i="5"/>
  <c r="Q550" i="5"/>
  <c r="Q537" i="5"/>
  <c r="P221" i="5"/>
  <c r="O98" i="5"/>
  <c r="O164" i="5"/>
  <c r="O427" i="5"/>
  <c r="Q523" i="5"/>
  <c r="P437" i="5"/>
  <c r="R534" i="5"/>
  <c r="O364" i="5"/>
  <c r="R24" i="5"/>
  <c r="R70" i="5"/>
  <c r="Q383" i="5"/>
  <c r="R518" i="5"/>
  <c r="O107" i="5"/>
  <c r="P360" i="5"/>
  <c r="T474" i="5"/>
  <c r="R406" i="5"/>
  <c r="T456" i="5"/>
  <c r="T458" i="5"/>
  <c r="Q226" i="5"/>
  <c r="R417" i="5"/>
  <c r="Q55" i="5"/>
  <c r="Q394" i="5"/>
  <c r="T306" i="5"/>
  <c r="R408" i="5"/>
  <c r="Q250" i="5"/>
  <c r="O106" i="5"/>
  <c r="O194" i="5"/>
  <c r="Q232" i="5"/>
  <c r="S146" i="5"/>
  <c r="R260" i="5"/>
  <c r="R358" i="5"/>
  <c r="O202" i="5"/>
  <c r="Q223" i="5"/>
  <c r="P345" i="5"/>
  <c r="O304" i="5"/>
  <c r="Q33" i="5"/>
  <c r="R345" i="5"/>
  <c r="Q126" i="5"/>
  <c r="O171" i="5"/>
  <c r="P394" i="5"/>
  <c r="Q533" i="5"/>
  <c r="P408" i="5"/>
  <c r="R473" i="5"/>
  <c r="O38" i="5"/>
  <c r="S561" i="5"/>
  <c r="T440" i="5"/>
  <c r="T89" i="5"/>
  <c r="R164" i="5"/>
  <c r="R405" i="5"/>
  <c r="Q417" i="5"/>
  <c r="Q187" i="5"/>
  <c r="Q405" i="5"/>
  <c r="P216" i="5"/>
  <c r="R126" i="5"/>
  <c r="P423" i="5"/>
  <c r="P171" i="5"/>
  <c r="Q70" i="5"/>
  <c r="Q258" i="5"/>
  <c r="P507" i="5"/>
  <c r="O408" i="5"/>
  <c r="Q281" i="5"/>
  <c r="O539" i="5"/>
  <c r="O93" i="5"/>
  <c r="R91" i="5"/>
  <c r="S482" i="5"/>
  <c r="R173" i="5"/>
  <c r="T201" i="5"/>
  <c r="R448" i="5"/>
  <c r="P405" i="5"/>
  <c r="R200" i="5"/>
  <c r="Q304" i="5"/>
  <c r="O423" i="5"/>
  <c r="Q173" i="5"/>
  <c r="O96" i="5"/>
  <c r="P92" i="5"/>
  <c r="P254" i="5"/>
  <c r="S161" i="5"/>
  <c r="R161" i="5"/>
  <c r="R246" i="5"/>
  <c r="Q246" i="5"/>
  <c r="O246" i="5"/>
  <c r="P246" i="5"/>
  <c r="Q105" i="5"/>
  <c r="R105" i="5"/>
  <c r="P105" i="5"/>
  <c r="O105" i="5"/>
  <c r="N105" i="5" s="1"/>
  <c r="M105" i="5" s="1"/>
  <c r="Q330" i="5"/>
  <c r="R330" i="5"/>
  <c r="P330" i="5"/>
  <c r="O330" i="5"/>
  <c r="O231" i="5"/>
  <c r="P231" i="5"/>
  <c r="R231" i="5"/>
  <c r="O368" i="5"/>
  <c r="P368" i="5"/>
  <c r="R545" i="5"/>
  <c r="P545" i="5"/>
  <c r="Q545" i="5"/>
  <c r="O545" i="5"/>
  <c r="Q449" i="5"/>
  <c r="O449" i="5"/>
  <c r="R449" i="5"/>
  <c r="Q483" i="5"/>
  <c r="P483" i="5"/>
  <c r="O483" i="5"/>
  <c r="Q128" i="5"/>
  <c r="R128" i="5"/>
  <c r="O128" i="5"/>
  <c r="P128" i="5"/>
  <c r="Q385" i="5"/>
  <c r="R385" i="5"/>
  <c r="P385" i="5"/>
  <c r="O385" i="5"/>
  <c r="Q445" i="5"/>
  <c r="R445" i="5"/>
  <c r="O445" i="5"/>
  <c r="P445" i="5"/>
  <c r="Q426" i="5"/>
  <c r="R426" i="5"/>
  <c r="O426" i="5"/>
  <c r="S365" i="5"/>
  <c r="R365" i="5"/>
  <c r="Q481" i="5"/>
  <c r="O481" i="5"/>
  <c r="S461" i="5"/>
  <c r="R461" i="5"/>
  <c r="Q468" i="5"/>
  <c r="P468" i="5"/>
  <c r="R490" i="5"/>
  <c r="Q490" i="5"/>
  <c r="O490" i="5"/>
  <c r="T270" i="5"/>
  <c r="P61" i="5"/>
  <c r="R61" i="5"/>
  <c r="Q61" i="5"/>
  <c r="S511" i="5"/>
  <c r="S384" i="5"/>
  <c r="T384" i="5"/>
  <c r="O493" i="5"/>
  <c r="Q216" i="5"/>
  <c r="P390" i="5"/>
  <c r="R364" i="5"/>
  <c r="O42" i="5"/>
  <c r="R318" i="5"/>
  <c r="S318" i="5"/>
  <c r="O40" i="5"/>
  <c r="R40" i="5"/>
  <c r="Q40" i="5"/>
  <c r="P40" i="5"/>
  <c r="O116" i="5"/>
  <c r="P116" i="5"/>
  <c r="R116" i="5"/>
  <c r="Q30" i="5"/>
  <c r="O30" i="5"/>
  <c r="P30" i="5"/>
  <c r="R30" i="5"/>
  <c r="R64" i="5"/>
  <c r="Q64" i="5"/>
  <c r="O64" i="5"/>
  <c r="N64" i="5" s="1"/>
  <c r="M64" i="5" s="1"/>
  <c r="P64" i="5"/>
  <c r="Q241" i="5"/>
  <c r="R241" i="5"/>
  <c r="O241" i="5"/>
  <c r="P241" i="5"/>
  <c r="R228" i="5"/>
  <c r="Q228" i="5"/>
  <c r="P228" i="5"/>
  <c r="N228" i="5" s="1"/>
  <c r="M228" i="5" s="1"/>
  <c r="O228" i="5"/>
  <c r="S342" i="5"/>
  <c r="S410" i="5"/>
  <c r="Q398" i="5"/>
  <c r="R398" i="5"/>
  <c r="P398" i="5"/>
  <c r="T76" i="5"/>
  <c r="Q203" i="5"/>
  <c r="R203" i="5"/>
  <c r="O203" i="5"/>
  <c r="P203" i="5"/>
  <c r="Q297" i="5"/>
  <c r="P297" i="5"/>
  <c r="O297" i="5"/>
  <c r="R522" i="5"/>
  <c r="Q522" i="5"/>
  <c r="S391" i="5"/>
  <c r="S316" i="5"/>
  <c r="Q225" i="5"/>
  <c r="P225" i="5"/>
  <c r="R225" i="5"/>
  <c r="O225" i="5"/>
  <c r="R281" i="5"/>
  <c r="S36" i="5"/>
  <c r="R36" i="5"/>
  <c r="P399" i="5"/>
  <c r="R399" i="5"/>
  <c r="Q331" i="5"/>
  <c r="T35" i="5"/>
  <c r="S411" i="5"/>
  <c r="S534" i="5"/>
  <c r="T534" i="5"/>
  <c r="S421" i="5"/>
  <c r="R421" i="5"/>
  <c r="R499" i="5"/>
  <c r="Q499" i="5"/>
  <c r="O499" i="5"/>
  <c r="P499" i="5"/>
  <c r="O26" i="5"/>
  <c r="N26" i="5" s="1"/>
  <c r="M26" i="5" s="1"/>
  <c r="Q26" i="5"/>
  <c r="R26" i="5"/>
  <c r="P26" i="5"/>
  <c r="R543" i="5"/>
  <c r="Q543" i="5"/>
  <c r="P543" i="5"/>
  <c r="O543" i="5"/>
  <c r="P485" i="5"/>
  <c r="R485" i="5"/>
  <c r="O485" i="5"/>
  <c r="Q485" i="5"/>
  <c r="R493" i="5"/>
  <c r="Q182" i="5"/>
  <c r="P374" i="5"/>
  <c r="P124" i="5"/>
  <c r="P299" i="5"/>
  <c r="Q260" i="5"/>
  <c r="P209" i="5"/>
  <c r="Q119" i="5"/>
  <c r="P42" i="5"/>
  <c r="P502" i="5"/>
  <c r="Q347" i="5"/>
  <c r="Q238" i="5"/>
  <c r="R238" i="5"/>
  <c r="O73" i="5"/>
  <c r="N73" i="5" s="1"/>
  <c r="M73" i="5" s="1"/>
  <c r="Q73" i="5"/>
  <c r="P73" i="5"/>
  <c r="Q370" i="5"/>
  <c r="O370" i="5"/>
  <c r="R370" i="5"/>
  <c r="P370" i="5"/>
  <c r="S144" i="5"/>
  <c r="R190" i="5"/>
  <c r="Q190" i="5"/>
  <c r="P190" i="5"/>
  <c r="O190" i="5"/>
  <c r="P123" i="5"/>
  <c r="R123" i="5"/>
  <c r="Q123" i="5"/>
  <c r="O123" i="5"/>
  <c r="N123" i="5" s="1"/>
  <c r="M123" i="5" s="1"/>
  <c r="S386" i="5"/>
  <c r="R27" i="5"/>
  <c r="O27" i="5"/>
  <c r="P27" i="5"/>
  <c r="O507" i="5"/>
  <c r="R507" i="5"/>
  <c r="Q509" i="5"/>
  <c r="P509" i="5"/>
  <c r="N509" i="5" s="1"/>
  <c r="M509" i="5" s="1"/>
  <c r="R509" i="5"/>
  <c r="O509" i="5"/>
  <c r="S284" i="5"/>
  <c r="S18" i="5"/>
  <c r="T18" i="5"/>
  <c r="Q186" i="5"/>
  <c r="R186" i="5"/>
  <c r="P186" i="5"/>
  <c r="N186" i="5" s="1"/>
  <c r="M186" i="5" s="1"/>
  <c r="S428" i="5"/>
  <c r="T476" i="5"/>
  <c r="S476" i="5"/>
  <c r="S382" i="5"/>
  <c r="P441" i="5"/>
  <c r="R441" i="5"/>
  <c r="O441" i="5"/>
  <c r="Q441" i="5"/>
  <c r="T213" i="5"/>
  <c r="S150" i="5"/>
  <c r="S119" i="5"/>
  <c r="T254" i="5"/>
  <c r="Q280" i="5"/>
  <c r="O280" i="5"/>
  <c r="P280" i="5"/>
  <c r="R273" i="5"/>
  <c r="P273" i="5"/>
  <c r="Q273" i="5"/>
  <c r="T546" i="5"/>
  <c r="S546" i="5"/>
  <c r="R511" i="5"/>
  <c r="Q511" i="5"/>
  <c r="P511" i="5"/>
  <c r="O229" i="5"/>
  <c r="N229" i="5" s="1"/>
  <c r="M229" i="5" s="1"/>
  <c r="Q229" i="5"/>
  <c r="P229" i="5"/>
  <c r="P278" i="5"/>
  <c r="R278" i="5"/>
  <c r="O278" i="5"/>
  <c r="Q278" i="5"/>
  <c r="T32" i="5"/>
  <c r="Q424" i="5"/>
  <c r="O424" i="5"/>
  <c r="N424" i="5" s="1"/>
  <c r="M424" i="5" s="1"/>
  <c r="R424" i="5"/>
  <c r="P424" i="5"/>
  <c r="O425" i="5"/>
  <c r="P425" i="5"/>
  <c r="R425" i="5"/>
  <c r="Q425" i="5"/>
  <c r="P486" i="5"/>
  <c r="R486" i="5"/>
  <c r="Q486" i="5"/>
  <c r="S122" i="5"/>
  <c r="S397" i="5"/>
  <c r="P87" i="5"/>
  <c r="P550" i="5"/>
  <c r="O153" i="5"/>
  <c r="O434" i="5"/>
  <c r="R182" i="5"/>
  <c r="R383" i="5"/>
  <c r="Q374" i="5"/>
  <c r="P358" i="5"/>
  <c r="O510" i="5"/>
  <c r="O503" i="5"/>
  <c r="P472" i="5"/>
  <c r="R76" i="5"/>
  <c r="R98" i="5"/>
  <c r="P156" i="5"/>
  <c r="O454" i="5"/>
  <c r="Q423" i="5"/>
  <c r="O124" i="5"/>
  <c r="T117" i="5"/>
  <c r="Q91" i="5"/>
  <c r="R299" i="5"/>
  <c r="O158" i="5"/>
  <c r="Q286" i="5"/>
  <c r="O24" i="5"/>
  <c r="P258" i="5"/>
  <c r="Q456" i="5"/>
  <c r="P193" i="5"/>
  <c r="P223" i="5"/>
  <c r="P67" i="5"/>
  <c r="R96" i="5"/>
  <c r="O468" i="5"/>
  <c r="O209" i="5"/>
  <c r="P279" i="5"/>
  <c r="Q166" i="5"/>
  <c r="R83" i="5"/>
  <c r="P315" i="5"/>
  <c r="P106" i="5"/>
  <c r="N106" i="5" s="1"/>
  <c r="M106" i="5" s="1"/>
  <c r="O92" i="5"/>
  <c r="N92" i="5" s="1"/>
  <c r="M92" i="5" s="1"/>
  <c r="P94" i="5"/>
  <c r="O33" i="5"/>
  <c r="Q380" i="5"/>
  <c r="O25" i="5"/>
  <c r="R42" i="5"/>
  <c r="P471" i="5"/>
  <c r="P426" i="5"/>
  <c r="O477" i="5"/>
  <c r="Q494" i="5"/>
  <c r="R72" i="5"/>
  <c r="Q290" i="5"/>
  <c r="R73" i="5"/>
  <c r="S286" i="5"/>
  <c r="T286" i="5"/>
  <c r="P198" i="5"/>
  <c r="O198" i="5"/>
  <c r="R198" i="5"/>
  <c r="Q198" i="5"/>
  <c r="Q277" i="5"/>
  <c r="O277" i="5"/>
  <c r="R277" i="5"/>
  <c r="P277" i="5"/>
  <c r="Q236" i="5"/>
  <c r="R236" i="5"/>
  <c r="O236" i="5"/>
  <c r="P236" i="5"/>
  <c r="S313" i="5"/>
  <c r="T313" i="5"/>
  <c r="Q75" i="5"/>
  <c r="O75" i="5"/>
  <c r="P75" i="5"/>
  <c r="Q52" i="5"/>
  <c r="R52" i="5"/>
  <c r="O52" i="5"/>
  <c r="P52" i="5"/>
  <c r="R248" i="5"/>
  <c r="O248" i="5"/>
  <c r="Q248" i="5"/>
  <c r="P536" i="5"/>
  <c r="R536" i="5"/>
  <c r="Q463" i="5"/>
  <c r="O463" i="5"/>
  <c r="P463" i="5"/>
  <c r="Q271" i="5"/>
  <c r="O271" i="5"/>
  <c r="P542" i="5"/>
  <c r="Q542" i="5"/>
  <c r="P259" i="5"/>
  <c r="N259" i="5" s="1"/>
  <c r="M259" i="5" s="1"/>
  <c r="Q259" i="5"/>
  <c r="O259" i="5"/>
  <c r="R259" i="5"/>
  <c r="Q71" i="5"/>
  <c r="P71" i="5"/>
  <c r="R71" i="5"/>
  <c r="O71" i="5"/>
  <c r="N71" i="5" s="1"/>
  <c r="M71" i="5" s="1"/>
  <c r="O262" i="5"/>
  <c r="N262" i="5" s="1"/>
  <c r="M262" i="5" s="1"/>
  <c r="R262" i="5"/>
  <c r="Q262" i="5"/>
  <c r="P262" i="5"/>
  <c r="Q479" i="5"/>
  <c r="O479" i="5"/>
  <c r="R479" i="5"/>
  <c r="P479" i="5"/>
  <c r="N479" i="5" s="1"/>
  <c r="M479" i="5" s="1"/>
  <c r="R554" i="5"/>
  <c r="Q554" i="5"/>
  <c r="Q175" i="5"/>
  <c r="O175" i="5"/>
  <c r="P175" i="5"/>
  <c r="R497" i="5"/>
  <c r="O497" i="5"/>
  <c r="P303" i="5"/>
  <c r="O303" i="5"/>
  <c r="Q303" i="5"/>
  <c r="Q221" i="5"/>
  <c r="P98" i="5"/>
  <c r="P119" i="5"/>
  <c r="R75" i="5"/>
  <c r="O210" i="5"/>
  <c r="O129" i="5"/>
  <c r="N129" i="5" s="1"/>
  <c r="M129" i="5" s="1"/>
  <c r="Q129" i="5"/>
  <c r="R129" i="5"/>
  <c r="P129" i="5"/>
  <c r="R176" i="5"/>
  <c r="O176" i="5"/>
  <c r="P176" i="5"/>
  <c r="Q176" i="5"/>
  <c r="P474" i="5"/>
  <c r="Q474" i="5"/>
  <c r="O474" i="5"/>
  <c r="R474" i="5"/>
  <c r="S496" i="5"/>
  <c r="R496" i="5"/>
  <c r="O292" i="5"/>
  <c r="P292" i="5"/>
  <c r="Q292" i="5"/>
  <c r="R292" i="5"/>
  <c r="R168" i="5"/>
  <c r="Q168" i="5"/>
  <c r="S73" i="5"/>
  <c r="R19" i="5"/>
  <c r="O57" i="5"/>
  <c r="Q29" i="5"/>
  <c r="P29" i="5"/>
  <c r="N29" i="5" s="1"/>
  <c r="M29" i="5" s="1"/>
  <c r="R29" i="5"/>
  <c r="O29" i="5"/>
  <c r="S250" i="5"/>
  <c r="Q435" i="5"/>
  <c r="R435" i="5"/>
  <c r="P435" i="5"/>
  <c r="T142" i="5"/>
  <c r="S74" i="5"/>
  <c r="S145" i="5"/>
  <c r="P245" i="5"/>
  <c r="Q245" i="5"/>
  <c r="O245" i="5"/>
  <c r="S47" i="5"/>
  <c r="R47" i="5"/>
  <c r="S545" i="5"/>
  <c r="T491" i="5"/>
  <c r="P327" i="5"/>
  <c r="N327" i="5" s="1"/>
  <c r="M327" i="5" s="1"/>
  <c r="R327" i="5"/>
  <c r="O327" i="5"/>
  <c r="Q327" i="5"/>
  <c r="R165" i="5"/>
  <c r="P165" i="5"/>
  <c r="Q165" i="5"/>
  <c r="O165" i="5"/>
  <c r="N165" i="5" s="1"/>
  <c r="M165" i="5" s="1"/>
  <c r="Q167" i="5"/>
  <c r="O167" i="5"/>
  <c r="R167" i="5"/>
  <c r="P167" i="5"/>
  <c r="O20" i="5"/>
  <c r="P20" i="5"/>
  <c r="Q145" i="5"/>
  <c r="R145" i="5"/>
  <c r="O145" i="5"/>
  <c r="P145" i="5"/>
  <c r="R86" i="5"/>
  <c r="O86" i="5"/>
  <c r="Q86" i="5"/>
  <c r="P86" i="5"/>
  <c r="O473" i="5"/>
  <c r="Q473" i="5"/>
  <c r="T354" i="5"/>
  <c r="S354" i="5"/>
  <c r="P211" i="5"/>
  <c r="O211" i="5"/>
  <c r="Q211" i="5"/>
  <c r="R211" i="5"/>
  <c r="R413" i="5"/>
  <c r="Q413" i="5"/>
  <c r="O413" i="5"/>
  <c r="N413" i="5" s="1"/>
  <c r="M413" i="5" s="1"/>
  <c r="P413" i="5"/>
  <c r="O37" i="5"/>
  <c r="P37" i="5"/>
  <c r="R37" i="5"/>
  <c r="Q37" i="5"/>
  <c r="Q157" i="5"/>
  <c r="R157" i="5"/>
  <c r="P157" i="5"/>
  <c r="P260" i="5"/>
  <c r="N260" i="5" s="1"/>
  <c r="M260" i="5" s="1"/>
  <c r="S473" i="5"/>
  <c r="P544" i="5"/>
  <c r="Q544" i="5"/>
  <c r="R544" i="5"/>
  <c r="O544" i="5"/>
  <c r="S83" i="5"/>
  <c r="S478" i="5"/>
  <c r="S260" i="5"/>
  <c r="O448" i="5"/>
  <c r="P383" i="5"/>
  <c r="R373" i="5"/>
  <c r="O76" i="5"/>
  <c r="Q399" i="5"/>
  <c r="T184" i="5"/>
  <c r="S176" i="5"/>
  <c r="R351" i="5"/>
  <c r="Q351" i="5"/>
  <c r="P351" i="5"/>
  <c r="O351" i="5"/>
  <c r="S321" i="5"/>
  <c r="T94" i="5"/>
  <c r="S94" i="5"/>
  <c r="O162" i="5"/>
  <c r="P162" i="5"/>
  <c r="Q162" i="5"/>
  <c r="R162" i="5"/>
  <c r="P169" i="5"/>
  <c r="R169" i="5"/>
  <c r="Q169" i="5"/>
  <c r="R376" i="5"/>
  <c r="Q376" i="5"/>
  <c r="O376" i="5"/>
  <c r="P376" i="5"/>
  <c r="S200" i="5"/>
  <c r="T200" i="5"/>
  <c r="S540" i="5"/>
  <c r="R540" i="5"/>
  <c r="Q430" i="5"/>
  <c r="R430" i="5"/>
  <c r="P430" i="5"/>
  <c r="O430" i="5"/>
  <c r="R459" i="5"/>
  <c r="P459" i="5"/>
  <c r="S134" i="5"/>
  <c r="R312" i="5"/>
  <c r="Q312" i="5"/>
  <c r="P312" i="5"/>
  <c r="O312" i="5"/>
  <c r="S357" i="5"/>
  <c r="Q360" i="5"/>
  <c r="O360" i="5"/>
  <c r="P411" i="5"/>
  <c r="R411" i="5"/>
  <c r="O411" i="5"/>
  <c r="Q411" i="5"/>
  <c r="Q391" i="5"/>
  <c r="R391" i="5"/>
  <c r="O391" i="5"/>
  <c r="P391" i="5"/>
  <c r="T116" i="5"/>
  <c r="T522" i="5"/>
  <c r="Q284" i="5"/>
  <c r="O284" i="5"/>
  <c r="N284" i="5" s="1"/>
  <c r="M284" i="5" s="1"/>
  <c r="R284" i="5"/>
  <c r="P284" i="5"/>
  <c r="P275" i="5"/>
  <c r="O275" i="5"/>
  <c r="Q275" i="5"/>
  <c r="R275" i="5"/>
  <c r="S471" i="5"/>
  <c r="Q505" i="5"/>
  <c r="R505" i="5"/>
  <c r="P505" i="5"/>
  <c r="O505" i="5"/>
  <c r="S209" i="5"/>
  <c r="S452" i="5"/>
  <c r="R452" i="5"/>
  <c r="P219" i="5"/>
  <c r="N219" i="5" s="1"/>
  <c r="M219" i="5" s="1"/>
  <c r="R219" i="5"/>
  <c r="Q219" i="5"/>
  <c r="O443" i="5"/>
  <c r="P443" i="5"/>
  <c r="R443" i="5"/>
  <c r="P348" i="5"/>
  <c r="Q348" i="5"/>
  <c r="O348" i="5"/>
  <c r="N348" i="5" s="1"/>
  <c r="M348" i="5" s="1"/>
  <c r="R348" i="5"/>
  <c r="Q437" i="5"/>
  <c r="R437" i="5"/>
  <c r="S536" i="5"/>
  <c r="R291" i="5"/>
  <c r="P291" i="5"/>
  <c r="O291" i="5"/>
  <c r="T471" i="5"/>
  <c r="Q181" i="5"/>
  <c r="O181" i="5"/>
  <c r="N181" i="5" s="1"/>
  <c r="M181" i="5" s="1"/>
  <c r="P181" i="5"/>
  <c r="R181" i="5"/>
  <c r="R74" i="5"/>
  <c r="O74" i="5"/>
  <c r="Q74" i="5"/>
  <c r="P74" i="5"/>
  <c r="N74" i="5" s="1"/>
  <c r="M74" i="5" s="1"/>
  <c r="Q298" i="5"/>
  <c r="P298" i="5"/>
  <c r="N298" i="5" s="1"/>
  <c r="M298" i="5" s="1"/>
  <c r="O298" i="5"/>
  <c r="R298" i="5"/>
  <c r="Q531" i="5"/>
  <c r="O531" i="5"/>
  <c r="P531" i="5"/>
  <c r="R531" i="5"/>
  <c r="Q212" i="5"/>
  <c r="O212" i="5"/>
  <c r="N212" i="5" s="1"/>
  <c r="M212" i="5" s="1"/>
  <c r="P212" i="5"/>
  <c r="T194" i="5"/>
  <c r="R99" i="5"/>
  <c r="Q87" i="5"/>
  <c r="R550" i="5"/>
  <c r="Q153" i="5"/>
  <c r="R214" i="5"/>
  <c r="Q434" i="5"/>
  <c r="O329" i="5"/>
  <c r="P307" i="5"/>
  <c r="Q350" i="5"/>
  <c r="R374" i="5"/>
  <c r="Q358" i="5"/>
  <c r="R510" i="5"/>
  <c r="R503" i="5"/>
  <c r="O472" i="5"/>
  <c r="Q76" i="5"/>
  <c r="R156" i="5"/>
  <c r="Q454" i="5"/>
  <c r="Q124" i="5"/>
  <c r="O299" i="5"/>
  <c r="P158" i="5"/>
  <c r="N158" i="5" s="1"/>
  <c r="M158" i="5" s="1"/>
  <c r="R286" i="5"/>
  <c r="P24" i="5"/>
  <c r="O456" i="5"/>
  <c r="R193" i="5"/>
  <c r="O223" i="5"/>
  <c r="P353" i="5"/>
  <c r="O67" i="5"/>
  <c r="O554" i="5"/>
  <c r="N554" i="5" s="1"/>
  <c r="M554" i="5" s="1"/>
  <c r="R468" i="5"/>
  <c r="R35" i="5"/>
  <c r="O219" i="5"/>
  <c r="O398" i="5"/>
  <c r="R279" i="5"/>
  <c r="Q83" i="5"/>
  <c r="Q459" i="5"/>
  <c r="O115" i="5"/>
  <c r="O315" i="5"/>
  <c r="N315" i="5" s="1"/>
  <c r="M315" i="5" s="1"/>
  <c r="Q106" i="5"/>
  <c r="R92" i="5"/>
  <c r="O94" i="5"/>
  <c r="R117" i="5"/>
  <c r="P25" i="5"/>
  <c r="O471" i="5"/>
  <c r="P377" i="5"/>
  <c r="R494" i="5"/>
  <c r="P168" i="5"/>
  <c r="Q291" i="5"/>
  <c r="O522" i="5"/>
  <c r="P248" i="5"/>
  <c r="O536" i="5"/>
  <c r="O273" i="5"/>
  <c r="R245" i="5"/>
  <c r="Q188" i="5"/>
  <c r="R188" i="5"/>
  <c r="P188" i="5"/>
  <c r="O188" i="5"/>
  <c r="Q62" i="5"/>
  <c r="O62" i="5"/>
  <c r="P62" i="5"/>
  <c r="R62" i="5"/>
  <c r="Q261" i="5"/>
  <c r="P261" i="5"/>
  <c r="O261" i="5"/>
  <c r="R261" i="5"/>
  <c r="R18" i="5"/>
  <c r="Q18" i="5"/>
  <c r="O18" i="5"/>
  <c r="P18" i="5"/>
  <c r="N18" i="5" s="1"/>
  <c r="M18" i="5" s="1"/>
  <c r="L18" i="5" s="1"/>
  <c r="S296" i="5"/>
  <c r="R296" i="5"/>
  <c r="S555" i="5"/>
  <c r="R555" i="5"/>
  <c r="R294" i="5"/>
  <c r="Q294" i="5"/>
  <c r="O294" i="5"/>
  <c r="P294" i="5"/>
  <c r="O272" i="5"/>
  <c r="N272" i="5" s="1"/>
  <c r="M272" i="5" s="1"/>
  <c r="Q272" i="5"/>
  <c r="P272" i="5"/>
  <c r="R272" i="5"/>
  <c r="P432" i="5"/>
  <c r="Q432" i="5"/>
  <c r="R432" i="5"/>
  <c r="O432" i="5"/>
  <c r="N432" i="5" s="1"/>
  <c r="M432" i="5" s="1"/>
  <c r="R320" i="5"/>
  <c r="Q320" i="5"/>
  <c r="P320" i="5"/>
  <c r="O320" i="5"/>
  <c r="R263" i="5"/>
  <c r="P263" i="5"/>
  <c r="Q263" i="5"/>
  <c r="O263" i="5"/>
  <c r="O476" i="5"/>
  <c r="R476" i="5"/>
  <c r="Q476" i="5"/>
  <c r="P476" i="5"/>
  <c r="O300" i="5"/>
  <c r="Q300" i="5"/>
  <c r="Q478" i="5"/>
  <c r="R478" i="5"/>
  <c r="P478" i="5"/>
  <c r="O478" i="5"/>
  <c r="S393" i="5"/>
  <c r="O386" i="5"/>
  <c r="R386" i="5"/>
  <c r="P386" i="5"/>
  <c r="Q386" i="5"/>
  <c r="S387" i="5"/>
  <c r="R387" i="5"/>
  <c r="S334" i="5"/>
  <c r="T334" i="5"/>
  <c r="S406" i="5"/>
  <c r="T406" i="5"/>
  <c r="Q63" i="5"/>
  <c r="O63" i="5"/>
  <c r="P63" i="5"/>
  <c r="R63" i="5"/>
  <c r="O334" i="5"/>
  <c r="Q334" i="5"/>
  <c r="P334" i="5"/>
  <c r="R334" i="5"/>
  <c r="P53" i="5"/>
  <c r="O53" i="5"/>
  <c r="Q53" i="5"/>
  <c r="R53" i="5"/>
  <c r="P112" i="5"/>
  <c r="R112" i="5"/>
  <c r="O112" i="5"/>
  <c r="Q112" i="5"/>
  <c r="Q264" i="5"/>
  <c r="P264" i="5"/>
  <c r="R264" i="5"/>
  <c r="O264" i="5"/>
  <c r="R135" i="5"/>
  <c r="Q135" i="5"/>
  <c r="P135" i="5"/>
  <c r="O135" i="5"/>
  <c r="Q170" i="5"/>
  <c r="P170" i="5"/>
  <c r="R170" i="5"/>
  <c r="O170" i="5"/>
  <c r="N170" i="5" s="1"/>
  <c r="M170" i="5" s="1"/>
  <c r="R90" i="5"/>
  <c r="Q90" i="5"/>
  <c r="O90" i="5"/>
  <c r="P90" i="5"/>
  <c r="Q416" i="5"/>
  <c r="O416" i="5"/>
  <c r="P416" i="5"/>
  <c r="N416" i="5" s="1"/>
  <c r="M416" i="5" s="1"/>
  <c r="R416" i="5"/>
  <c r="O134" i="5"/>
  <c r="N134" i="5" s="1"/>
  <c r="M134" i="5" s="1"/>
  <c r="P134" i="5"/>
  <c r="R134" i="5"/>
  <c r="Q134" i="5"/>
  <c r="S21" i="5"/>
  <c r="R439" i="5"/>
  <c r="Q439" i="5"/>
  <c r="P439" i="5"/>
  <c r="Q301" i="5"/>
  <c r="R301" i="5"/>
  <c r="O301" i="5"/>
  <c r="P301" i="5"/>
  <c r="O491" i="5"/>
  <c r="P491" i="5"/>
  <c r="Q491" i="5"/>
  <c r="R491" i="5"/>
  <c r="P91" i="5"/>
  <c r="N91" i="5" s="1"/>
  <c r="M91" i="5" s="1"/>
  <c r="S232" i="5"/>
  <c r="S423" i="5"/>
  <c r="T85" i="5"/>
  <c r="R82" i="5"/>
  <c r="Q82" i="5"/>
  <c r="P82" i="5"/>
  <c r="O82" i="5"/>
  <c r="P366" i="5"/>
  <c r="R366" i="5"/>
  <c r="Q366" i="5"/>
  <c r="O366" i="5"/>
  <c r="Q371" i="5"/>
  <c r="O371" i="5"/>
  <c r="R371" i="5"/>
  <c r="P371" i="5"/>
  <c r="N371" i="5" s="1"/>
  <c r="M371" i="5" s="1"/>
  <c r="S22" i="5"/>
  <c r="R22" i="5"/>
  <c r="S512" i="5"/>
  <c r="R512" i="5"/>
  <c r="T96" i="5"/>
  <c r="Q436" i="5"/>
  <c r="P436" i="5"/>
  <c r="N436" i="5" s="1"/>
  <c r="M436" i="5" s="1"/>
  <c r="R436" i="5"/>
  <c r="O436" i="5"/>
  <c r="R410" i="5"/>
  <c r="Q410" i="5"/>
  <c r="O410" i="5"/>
  <c r="P410" i="5"/>
  <c r="R127" i="5"/>
  <c r="Q127" i="5"/>
  <c r="O127" i="5"/>
  <c r="R233" i="5"/>
  <c r="O233" i="5"/>
  <c r="P233" i="5"/>
  <c r="Q233" i="5"/>
  <c r="Q184" i="5"/>
  <c r="R184" i="5"/>
  <c r="P184" i="5"/>
  <c r="O184" i="5"/>
  <c r="Q515" i="5"/>
  <c r="R515" i="5"/>
  <c r="O515" i="5"/>
  <c r="P515" i="5"/>
  <c r="S265" i="5"/>
  <c r="Q130" i="5"/>
  <c r="P130" i="5"/>
  <c r="R130" i="5"/>
  <c r="S509" i="5"/>
  <c r="O355" i="5"/>
  <c r="R355" i="5"/>
  <c r="P355" i="5"/>
  <c r="O534" i="5"/>
  <c r="P534" i="5"/>
  <c r="Q412" i="5"/>
  <c r="R412" i="5"/>
  <c r="P412" i="5"/>
  <c r="N412" i="5" s="1"/>
  <c r="M412" i="5" s="1"/>
  <c r="O412" i="5"/>
  <c r="P403" i="5"/>
  <c r="O403" i="5"/>
  <c r="R403" i="5"/>
  <c r="Q403" i="5"/>
  <c r="S201" i="5"/>
  <c r="O356" i="5"/>
  <c r="N356" i="5" s="1"/>
  <c r="M356" i="5" s="1"/>
  <c r="P356" i="5"/>
  <c r="R356" i="5"/>
  <c r="Q242" i="5"/>
  <c r="R242" i="5"/>
  <c r="P242" i="5"/>
  <c r="O242" i="5"/>
  <c r="Q144" i="5"/>
  <c r="O144" i="5"/>
  <c r="P144" i="5"/>
  <c r="R144" i="5"/>
  <c r="P202" i="5"/>
  <c r="R202" i="5"/>
  <c r="P77" i="5"/>
  <c r="O77" i="5"/>
  <c r="R444" i="5"/>
  <c r="P444" i="5"/>
  <c r="N444" i="5" s="1"/>
  <c r="M444" i="5" s="1"/>
  <c r="Q444" i="5"/>
  <c r="O444" i="5"/>
  <c r="S548" i="5"/>
  <c r="Q541" i="5"/>
  <c r="R541" i="5"/>
  <c r="O541" i="5"/>
  <c r="P541" i="5"/>
  <c r="N541" i="5" s="1"/>
  <c r="M541" i="5" s="1"/>
  <c r="R237" i="5"/>
  <c r="O237" i="5"/>
  <c r="S273" i="5"/>
  <c r="T273" i="5"/>
  <c r="Q539" i="5"/>
  <c r="R539" i="5"/>
  <c r="P539" i="5"/>
  <c r="S523" i="5"/>
  <c r="O396" i="5"/>
  <c r="P396" i="5"/>
  <c r="R396" i="5"/>
  <c r="Q396" i="5"/>
  <c r="O358" i="5"/>
  <c r="P503" i="5"/>
  <c r="Q156" i="5"/>
  <c r="R158" i="5"/>
  <c r="P456" i="5"/>
  <c r="N456" i="5" s="1"/>
  <c r="M456" i="5" s="1"/>
  <c r="R547" i="5"/>
  <c r="Q390" i="5"/>
  <c r="O435" i="5"/>
  <c r="Q19" i="5"/>
  <c r="P490" i="5"/>
  <c r="O359" i="5"/>
  <c r="R359" i="5"/>
  <c r="P359" i="5"/>
  <c r="Q359" i="5"/>
  <c r="S127" i="5"/>
  <c r="O189" i="5"/>
  <c r="R189" i="5"/>
  <c r="Q189" i="5"/>
  <c r="P189" i="5"/>
  <c r="Q401" i="5"/>
  <c r="O401" i="5"/>
  <c r="N401" i="5" s="1"/>
  <c r="M401" i="5" s="1"/>
  <c r="R401" i="5"/>
  <c r="P401" i="5"/>
  <c r="S24" i="5"/>
  <c r="R357" i="5"/>
  <c r="Q357" i="5"/>
  <c r="P357" i="5"/>
  <c r="O357" i="5"/>
  <c r="N357" i="5" s="1"/>
  <c r="M357" i="5" s="1"/>
  <c r="R402" i="5"/>
  <c r="P402" i="5"/>
  <c r="Q402" i="5"/>
  <c r="O402" i="5"/>
  <c r="Q185" i="5"/>
  <c r="O185" i="5"/>
  <c r="R185" i="5"/>
  <c r="P185" i="5"/>
  <c r="N185" i="5" s="1"/>
  <c r="M185" i="5" s="1"/>
  <c r="Q224" i="5"/>
  <c r="O224" i="5"/>
  <c r="N224" i="5" s="1"/>
  <c r="M224" i="5" s="1"/>
  <c r="P224" i="5"/>
  <c r="R224" i="5"/>
  <c r="Q338" i="5"/>
  <c r="P338" i="5"/>
  <c r="R338" i="5"/>
  <c r="S167" i="5"/>
  <c r="S456" i="5"/>
  <c r="S124" i="5"/>
  <c r="R513" i="5"/>
  <c r="P513" i="5"/>
  <c r="O513" i="5"/>
  <c r="Q513" i="5"/>
  <c r="S183" i="5"/>
  <c r="S133" i="5"/>
  <c r="Q326" i="5"/>
  <c r="P326" i="5"/>
  <c r="R326" i="5"/>
  <c r="O326" i="5"/>
  <c r="S340" i="5"/>
  <c r="T253" i="5"/>
  <c r="T363" i="5"/>
  <c r="S78" i="5"/>
  <c r="R78" i="5"/>
  <c r="O317" i="5"/>
  <c r="N317" i="5" s="1"/>
  <c r="M317" i="5" s="1"/>
  <c r="P317" i="5"/>
  <c r="Q317" i="5"/>
  <c r="R317" i="5"/>
  <c r="S500" i="5"/>
  <c r="R500" i="5"/>
  <c r="P33" i="5"/>
  <c r="S309" i="5"/>
  <c r="Q422" i="5"/>
  <c r="R422" i="5"/>
  <c r="P422" i="5"/>
  <c r="O422" i="5"/>
  <c r="S194" i="5"/>
  <c r="S404" i="5"/>
  <c r="S448" i="5"/>
  <c r="Q546" i="5"/>
  <c r="O546" i="5"/>
  <c r="N546" i="5" s="1"/>
  <c r="M546" i="5" s="1"/>
  <c r="R546" i="5"/>
  <c r="P546" i="5"/>
  <c r="Q324" i="5"/>
  <c r="R324" i="5"/>
  <c r="P324" i="5"/>
  <c r="O324" i="5"/>
  <c r="N324" i="5" s="1"/>
  <c r="M324" i="5" s="1"/>
  <c r="R341" i="5"/>
  <c r="P341" i="5"/>
  <c r="Q341" i="5"/>
  <c r="O341" i="5"/>
  <c r="Q109" i="5"/>
  <c r="P109" i="5"/>
  <c r="S398" i="5"/>
  <c r="Q467" i="5"/>
  <c r="O467" i="5"/>
  <c r="P467" i="5"/>
  <c r="R467" i="5"/>
  <c r="S487" i="5"/>
  <c r="O87" i="5"/>
  <c r="O550" i="5"/>
  <c r="P153" i="5"/>
  <c r="O214" i="5"/>
  <c r="N214" i="5" s="1"/>
  <c r="M214" i="5" s="1"/>
  <c r="O537" i="5"/>
  <c r="N537" i="5" s="1"/>
  <c r="M537" i="5" s="1"/>
  <c r="R329" i="5"/>
  <c r="Q307" i="5"/>
  <c r="O350" i="5"/>
  <c r="T216" i="5"/>
  <c r="R226" i="5"/>
  <c r="Q472" i="5"/>
  <c r="P454" i="5"/>
  <c r="N454" i="5" s="1"/>
  <c r="M454" i="5" s="1"/>
  <c r="O293" i="5"/>
  <c r="N293" i="5" s="1"/>
  <c r="M293" i="5" s="1"/>
  <c r="P55" i="5"/>
  <c r="R187" i="5"/>
  <c r="P70" i="5"/>
  <c r="P286" i="5"/>
  <c r="N286" i="5" s="1"/>
  <c r="M286" i="5" s="1"/>
  <c r="Q24" i="5"/>
  <c r="Q193" i="5"/>
  <c r="R223" i="5"/>
  <c r="O353" i="5"/>
  <c r="R67" i="5"/>
  <c r="O406" i="5"/>
  <c r="R523" i="5"/>
  <c r="P533" i="5"/>
  <c r="P237" i="5"/>
  <c r="Q314" i="5"/>
  <c r="Q279" i="5"/>
  <c r="O83" i="5"/>
  <c r="N83" i="5" s="1"/>
  <c r="M83" i="5" s="1"/>
  <c r="Q57" i="5"/>
  <c r="O109" i="5"/>
  <c r="Q202" i="5"/>
  <c r="R481" i="5"/>
  <c r="R495" i="5"/>
  <c r="P115" i="5"/>
  <c r="R315" i="5"/>
  <c r="R140" i="5"/>
  <c r="Q428" i="5"/>
  <c r="Q94" i="5"/>
  <c r="R33" i="5"/>
  <c r="P117" i="5"/>
  <c r="Q25" i="5"/>
  <c r="Q231" i="5"/>
  <c r="R28" i="5"/>
  <c r="R133" i="5"/>
  <c r="Q471" i="5"/>
  <c r="O338" i="5"/>
  <c r="O377" i="5"/>
  <c r="O168" i="5"/>
  <c r="P522" i="5"/>
  <c r="R297" i="5"/>
  <c r="R212" i="5"/>
  <c r="R560" i="5"/>
  <c r="R483" i="5"/>
  <c r="R229" i="5"/>
  <c r="S45" i="5"/>
  <c r="R45" i="5"/>
  <c r="Q97" i="5"/>
  <c r="P97" i="5"/>
  <c r="R97" i="5"/>
  <c r="O97" i="5"/>
  <c r="N97" i="5" s="1"/>
  <c r="M97" i="5" s="1"/>
  <c r="R69" i="5"/>
  <c r="P69" i="5"/>
  <c r="O69" i="5"/>
  <c r="Q69" i="5"/>
  <c r="R285" i="5"/>
  <c r="P285" i="5"/>
  <c r="Q285" i="5"/>
  <c r="O285" i="5"/>
  <c r="N285" i="5" s="1"/>
  <c r="M285" i="5" s="1"/>
  <c r="P429" i="5"/>
  <c r="N429" i="5" s="1"/>
  <c r="M429" i="5" s="1"/>
  <c r="R429" i="5"/>
  <c r="O429" i="5"/>
  <c r="Q429" i="5"/>
  <c r="R375" i="5"/>
  <c r="P375" i="5"/>
  <c r="Q375" i="5"/>
  <c r="O375" i="5"/>
  <c r="N375" i="5" s="1"/>
  <c r="M375" i="5" s="1"/>
  <c r="Q54" i="5"/>
  <c r="R54" i="5"/>
  <c r="P54" i="5"/>
  <c r="O54" i="5"/>
  <c r="R347" i="5"/>
  <c r="O347" i="5"/>
  <c r="P498" i="5"/>
  <c r="R498" i="5"/>
  <c r="Q498" i="5"/>
  <c r="O498" i="5"/>
  <c r="R477" i="5"/>
  <c r="P477" i="5"/>
  <c r="Q110" i="5"/>
  <c r="P110" i="5"/>
  <c r="O110" i="5"/>
  <c r="N110" i="5" s="1"/>
  <c r="M110" i="5" s="1"/>
  <c r="S142" i="5"/>
  <c r="R142" i="5"/>
  <c r="Q200" i="5"/>
  <c r="R209" i="5"/>
  <c r="Q192" i="5"/>
  <c r="R65" i="5"/>
  <c r="O65" i="5"/>
  <c r="Q65" i="5"/>
  <c r="P65" i="5"/>
  <c r="N65" i="5" s="1"/>
  <c r="M65" i="5" s="1"/>
  <c r="O256" i="5"/>
  <c r="R256" i="5"/>
  <c r="Q256" i="5"/>
  <c r="P256" i="5"/>
  <c r="P138" i="5"/>
  <c r="Q138" i="5"/>
  <c r="R138" i="5"/>
  <c r="O138" i="5"/>
  <c r="N138" i="5" s="1"/>
  <c r="M138" i="5" s="1"/>
  <c r="R378" i="5"/>
  <c r="Q378" i="5"/>
  <c r="O378" i="5"/>
  <c r="P378" i="5"/>
  <c r="T83" i="5"/>
  <c r="Q265" i="5"/>
  <c r="O265" i="5"/>
  <c r="R265" i="5"/>
  <c r="P265" i="5"/>
  <c r="Q253" i="5"/>
  <c r="R253" i="5"/>
  <c r="P253" i="5"/>
  <c r="O253" i="5"/>
  <c r="S302" i="5"/>
  <c r="R302" i="5"/>
  <c r="R340" i="5"/>
  <c r="P340" i="5"/>
  <c r="N340" i="5" s="1"/>
  <c r="M340" i="5" s="1"/>
  <c r="O340" i="5"/>
  <c r="Q340" i="5"/>
  <c r="S491" i="5"/>
  <c r="Q529" i="5"/>
  <c r="O529" i="5"/>
  <c r="P529" i="5"/>
  <c r="N529" i="5" s="1"/>
  <c r="M529" i="5" s="1"/>
  <c r="R529" i="5"/>
  <c r="O395" i="5"/>
  <c r="Q395" i="5"/>
  <c r="R395" i="5"/>
  <c r="P514" i="5"/>
  <c r="Q514" i="5"/>
  <c r="R514" i="5"/>
  <c r="O514" i="5"/>
  <c r="N514" i="5" s="1"/>
  <c r="M514" i="5" s="1"/>
  <c r="T29" i="5"/>
  <c r="O418" i="5"/>
  <c r="P418" i="5"/>
  <c r="Q418" i="5"/>
  <c r="R418" i="5"/>
  <c r="P535" i="5"/>
  <c r="O535" i="5"/>
  <c r="Q535" i="5"/>
  <c r="R535" i="5"/>
  <c r="Q306" i="5"/>
  <c r="R306" i="5"/>
  <c r="P306" i="5"/>
  <c r="O306" i="5"/>
  <c r="P518" i="5"/>
  <c r="O518" i="5"/>
  <c r="Q518" i="5"/>
  <c r="S33" i="5"/>
  <c r="Q205" i="5"/>
  <c r="R205" i="5"/>
  <c r="O205" i="5"/>
  <c r="S383" i="5"/>
  <c r="O108" i="5"/>
  <c r="R108" i="5"/>
  <c r="P108" i="5"/>
  <c r="N108" i="5" s="1"/>
  <c r="M108" i="5" s="1"/>
  <c r="Q108" i="5"/>
  <c r="Q51" i="5"/>
  <c r="P51" i="5"/>
  <c r="O51" i="5"/>
  <c r="R51" i="5"/>
  <c r="S165" i="5"/>
  <c r="S486" i="5"/>
  <c r="O59" i="5"/>
  <c r="N59" i="5" s="1"/>
  <c r="M59" i="5" s="1"/>
  <c r="R59" i="5"/>
  <c r="Q59" i="5"/>
  <c r="P59" i="5"/>
  <c r="P388" i="5"/>
  <c r="R388" i="5"/>
  <c r="Q288" i="5"/>
  <c r="R288" i="5"/>
  <c r="O288" i="5"/>
  <c r="P288" i="5"/>
  <c r="S174" i="5"/>
  <c r="S39" i="5"/>
  <c r="R39" i="5"/>
  <c r="O218" i="5"/>
  <c r="R218" i="5"/>
  <c r="P218" i="5"/>
  <c r="Q218" i="5"/>
  <c r="S439" i="5"/>
  <c r="S303" i="5"/>
  <c r="S380" i="5"/>
  <c r="S199" i="5"/>
  <c r="R199" i="5"/>
  <c r="P214" i="5"/>
  <c r="P537" i="5"/>
  <c r="P329" i="5"/>
  <c r="N329" i="5" s="1"/>
  <c r="M329" i="5" s="1"/>
  <c r="R307" i="5"/>
  <c r="R183" i="5"/>
  <c r="P350" i="5"/>
  <c r="O226" i="5"/>
  <c r="O216" i="5"/>
  <c r="P200" i="5"/>
  <c r="O126" i="5"/>
  <c r="O345" i="5"/>
  <c r="O221" i="5"/>
  <c r="N221" i="5" s="1"/>
  <c r="M221" i="5" s="1"/>
  <c r="P417" i="5"/>
  <c r="N417" i="5" s="1"/>
  <c r="M417" i="5" s="1"/>
  <c r="O131" i="5"/>
  <c r="P304" i="5"/>
  <c r="R293" i="5"/>
  <c r="R171" i="5"/>
  <c r="O55" i="5"/>
  <c r="O187" i="5"/>
  <c r="N187" i="5" s="1"/>
  <c r="M187" i="5" s="1"/>
  <c r="O70" i="5"/>
  <c r="N70" i="5" s="1"/>
  <c r="M70" i="5" s="1"/>
  <c r="O163" i="5"/>
  <c r="R394" i="5"/>
  <c r="P173" i="5"/>
  <c r="Q353" i="5"/>
  <c r="Q406" i="5"/>
  <c r="P523" i="5"/>
  <c r="R533" i="5"/>
  <c r="R271" i="5"/>
  <c r="Q237" i="5"/>
  <c r="R280" i="5"/>
  <c r="O314" i="5"/>
  <c r="O250" i="5"/>
  <c r="Q152" i="5"/>
  <c r="R57" i="5"/>
  <c r="R109" i="5"/>
  <c r="R303" i="5"/>
  <c r="R175" i="5"/>
  <c r="P331" i="5"/>
  <c r="P238" i="5"/>
  <c r="P481" i="5"/>
  <c r="Q115" i="5"/>
  <c r="Q20" i="5"/>
  <c r="P428" i="5"/>
  <c r="R336" i="5"/>
  <c r="O117" i="5"/>
  <c r="P38" i="5"/>
  <c r="Q28" i="5"/>
  <c r="O133" i="5"/>
  <c r="R194" i="5"/>
  <c r="N22" i="5"/>
  <c r="M22" i="5" s="1"/>
  <c r="Q377" i="5"/>
  <c r="O232" i="5"/>
  <c r="R463" i="5"/>
  <c r="O157" i="5"/>
  <c r="R342" i="5"/>
  <c r="Q27" i="5"/>
  <c r="P127" i="5"/>
  <c r="O61" i="5"/>
  <c r="Q230" i="5"/>
  <c r="O230" i="5"/>
  <c r="P230" i="5"/>
  <c r="R230" i="5"/>
  <c r="Q155" i="5"/>
  <c r="O155" i="5"/>
  <c r="P155" i="5"/>
  <c r="R155" i="5"/>
  <c r="S125" i="5"/>
  <c r="Q143" i="5"/>
  <c r="R143" i="5"/>
  <c r="P143" i="5"/>
  <c r="O143" i="5"/>
  <c r="P35" i="5"/>
  <c r="Q35" i="5"/>
  <c r="P180" i="5"/>
  <c r="O180" i="5"/>
  <c r="N180" i="5" s="1"/>
  <c r="M180" i="5" s="1"/>
  <c r="R180" i="5"/>
  <c r="R102" i="5"/>
  <c r="O102" i="5"/>
  <c r="P102" i="5"/>
  <c r="Q102" i="5"/>
  <c r="Q150" i="5"/>
  <c r="R150" i="5"/>
  <c r="P150" i="5"/>
  <c r="N150" i="5" s="1"/>
  <c r="M150" i="5" s="1"/>
  <c r="O150" i="5"/>
  <c r="Q72" i="5"/>
  <c r="P72" i="5"/>
  <c r="R295" i="5"/>
  <c r="Q295" i="5"/>
  <c r="P295" i="5"/>
  <c r="Q122" i="5"/>
  <c r="R122" i="5"/>
  <c r="P122" i="5"/>
  <c r="N122" i="5" s="1"/>
  <c r="M122" i="5" s="1"/>
  <c r="S157" i="5"/>
  <c r="R502" i="5"/>
  <c r="Q502" i="5"/>
  <c r="R465" i="5"/>
  <c r="O465" i="5"/>
  <c r="P465" i="5"/>
  <c r="Q17" i="5"/>
  <c r="R17" i="5"/>
  <c r="S213" i="5"/>
  <c r="S394" i="5"/>
  <c r="Q506" i="5"/>
  <c r="O506" i="5"/>
  <c r="P506" i="5"/>
  <c r="O549" i="5"/>
  <c r="Q549" i="5"/>
  <c r="P549" i="5"/>
  <c r="N549" i="5" s="1"/>
  <c r="M549" i="5" s="1"/>
  <c r="R549" i="5"/>
  <c r="R323" i="5"/>
  <c r="Q323" i="5"/>
  <c r="O323" i="5"/>
  <c r="P323" i="5"/>
  <c r="R404" i="5"/>
  <c r="P404" i="5"/>
  <c r="Q404" i="5"/>
  <c r="O404" i="5"/>
  <c r="P448" i="5"/>
  <c r="O542" i="5"/>
  <c r="R368" i="5"/>
  <c r="R166" i="5"/>
  <c r="R346" i="5"/>
  <c r="Q346" i="5"/>
  <c r="O346" i="5"/>
  <c r="N346" i="5" s="1"/>
  <c r="M346" i="5" s="1"/>
  <c r="P346" i="5"/>
  <c r="Q372" i="5"/>
  <c r="O372" i="5"/>
  <c r="P372" i="5"/>
  <c r="R372" i="5"/>
  <c r="Q95" i="5"/>
  <c r="O95" i="5"/>
  <c r="N95" i="5" s="1"/>
  <c r="M95" i="5" s="1"/>
  <c r="R95" i="5"/>
  <c r="P95" i="5"/>
  <c r="P269" i="5"/>
  <c r="O269" i="5"/>
  <c r="R269" i="5"/>
  <c r="Q269" i="5"/>
  <c r="R132" i="5"/>
  <c r="O132" i="5"/>
  <c r="P132" i="5"/>
  <c r="Q132" i="5"/>
  <c r="Q56" i="5"/>
  <c r="P56" i="5"/>
  <c r="R56" i="5"/>
  <c r="O56" i="5"/>
  <c r="S241" i="5"/>
  <c r="T97" i="5"/>
  <c r="S97" i="5"/>
  <c r="P322" i="5"/>
  <c r="R322" i="5"/>
  <c r="O322" i="5"/>
  <c r="Q322" i="5"/>
  <c r="P101" i="5"/>
  <c r="R101" i="5"/>
  <c r="O101" i="5"/>
  <c r="N101" i="5" s="1"/>
  <c r="M101" i="5" s="1"/>
  <c r="Q101" i="5"/>
  <c r="R31" i="5"/>
  <c r="Q31" i="5"/>
  <c r="O31" i="5"/>
  <c r="P31" i="5"/>
  <c r="Q85" i="5"/>
  <c r="P85" i="5"/>
  <c r="R85" i="5"/>
  <c r="O85" i="5"/>
  <c r="P49" i="5"/>
  <c r="N49" i="5" s="1"/>
  <c r="M49" i="5" s="1"/>
  <c r="O49" i="5"/>
  <c r="R49" i="5"/>
  <c r="Q49" i="5"/>
  <c r="R254" i="5"/>
  <c r="O254" i="5"/>
  <c r="S51" i="5"/>
  <c r="P290" i="5"/>
  <c r="O290" i="5"/>
  <c r="P344" i="5"/>
  <c r="R344" i="5"/>
  <c r="R487" i="5"/>
  <c r="P487" i="5"/>
  <c r="P354" i="5"/>
  <c r="Q354" i="5"/>
  <c r="O354" i="5"/>
  <c r="N354" i="5" s="1"/>
  <c r="M354" i="5" s="1"/>
  <c r="R354" i="5"/>
  <c r="Q526" i="5"/>
  <c r="P526" i="5"/>
  <c r="R526" i="5"/>
  <c r="O526" i="5"/>
  <c r="R393" i="5"/>
  <c r="Q393" i="5"/>
  <c r="P393" i="5"/>
  <c r="N393" i="5" s="1"/>
  <c r="M393" i="5" s="1"/>
  <c r="O393" i="5"/>
  <c r="R337" i="5"/>
  <c r="Q337" i="5"/>
  <c r="O337" i="5"/>
  <c r="P337" i="5"/>
  <c r="S389" i="5"/>
  <c r="R389" i="5"/>
  <c r="Q177" i="5"/>
  <c r="P177" i="5"/>
  <c r="N177" i="5" s="1"/>
  <c r="M177" i="5" s="1"/>
  <c r="R177" i="5"/>
  <c r="O177" i="5"/>
  <c r="P367" i="5"/>
  <c r="R367" i="5"/>
  <c r="Q367" i="5"/>
  <c r="O367" i="5"/>
  <c r="N367" i="5" s="1"/>
  <c r="M367" i="5" s="1"/>
  <c r="O321" i="5"/>
  <c r="N321" i="5" s="1"/>
  <c r="M321" i="5" s="1"/>
  <c r="Q321" i="5"/>
  <c r="R321" i="5"/>
  <c r="S116" i="5"/>
  <c r="R458" i="5"/>
  <c r="S458" i="5"/>
  <c r="T545" i="5"/>
  <c r="T382" i="5"/>
  <c r="T249" i="5"/>
  <c r="R258" i="5"/>
  <c r="R360" i="5"/>
  <c r="R80" i="5"/>
  <c r="P166" i="5"/>
  <c r="O494" i="5"/>
  <c r="O344" i="5"/>
  <c r="O130" i="5"/>
  <c r="P114" i="5"/>
  <c r="N114" i="5" s="1"/>
  <c r="M114" i="5" s="1"/>
  <c r="Q114" i="5"/>
  <c r="R114" i="5"/>
  <c r="S450" i="5"/>
  <c r="S104" i="5"/>
  <c r="R104" i="5"/>
  <c r="P172" i="5"/>
  <c r="O172" i="5"/>
  <c r="N172" i="5" s="1"/>
  <c r="M172" i="5" s="1"/>
  <c r="R172" i="5"/>
  <c r="R151" i="5"/>
  <c r="O151" i="5"/>
  <c r="Q151" i="5"/>
  <c r="R234" i="5"/>
  <c r="Q234" i="5"/>
  <c r="O234" i="5"/>
  <c r="P234" i="5"/>
  <c r="N234" i="5" s="1"/>
  <c r="M234" i="5" s="1"/>
  <c r="S341" i="5"/>
  <c r="P93" i="5"/>
  <c r="R93" i="5"/>
  <c r="Q93" i="5"/>
  <c r="P41" i="5"/>
  <c r="Q41" i="5"/>
  <c r="R41" i="5"/>
  <c r="T67" i="5"/>
  <c r="S177" i="5"/>
  <c r="O266" i="5"/>
  <c r="R266" i="5"/>
  <c r="P266" i="5"/>
  <c r="Q266" i="5"/>
  <c r="T342" i="5"/>
  <c r="S298" i="5"/>
  <c r="S489" i="5"/>
  <c r="R489" i="5"/>
  <c r="O361" i="5"/>
  <c r="P361" i="5"/>
  <c r="Q361" i="5"/>
  <c r="R361" i="5"/>
  <c r="Q517" i="5"/>
  <c r="P517" i="5"/>
  <c r="R517" i="5"/>
  <c r="O517" i="5"/>
  <c r="N517" i="5" s="1"/>
  <c r="M517" i="5" s="1"/>
  <c r="S366" i="5"/>
  <c r="R287" i="5"/>
  <c r="S287" i="5"/>
  <c r="Q120" i="5"/>
  <c r="O120" i="5"/>
  <c r="P120" i="5"/>
  <c r="R120" i="5"/>
  <c r="T240" i="5"/>
  <c r="O227" i="5"/>
  <c r="N227" i="5" s="1"/>
  <c r="M227" i="5" s="1"/>
  <c r="P227" i="5"/>
  <c r="R227" i="5"/>
  <c r="S185" i="5"/>
  <c r="Q268" i="5"/>
  <c r="O268" i="5"/>
  <c r="P268" i="5"/>
  <c r="N268" i="5" s="1"/>
  <c r="M268" i="5" s="1"/>
  <c r="R268" i="5"/>
  <c r="S319" i="5"/>
  <c r="Q206" i="5"/>
  <c r="O206" i="5"/>
  <c r="P206" i="5"/>
  <c r="R206" i="5"/>
  <c r="P210" i="5"/>
  <c r="R192" i="5"/>
  <c r="R382" i="5"/>
  <c r="Q382" i="5"/>
  <c r="P382" i="5"/>
  <c r="O382" i="5"/>
  <c r="Q328" i="5"/>
  <c r="P328" i="5"/>
  <c r="O328" i="5"/>
  <c r="O136" i="5"/>
  <c r="Q136" i="5"/>
  <c r="P136" i="5"/>
  <c r="Q48" i="5"/>
  <c r="O48" i="5"/>
  <c r="R48" i="5"/>
  <c r="S420" i="5"/>
  <c r="T461" i="5"/>
  <c r="S208" i="5"/>
  <c r="S338" i="5"/>
  <c r="P552" i="5"/>
  <c r="Q552" i="5"/>
  <c r="R552" i="5"/>
  <c r="O552" i="5"/>
  <c r="Q557" i="5"/>
  <c r="R557" i="5"/>
  <c r="O557" i="5"/>
  <c r="P557" i="5"/>
  <c r="P179" i="5"/>
  <c r="N179" i="5" s="1"/>
  <c r="M179" i="5" s="1"/>
  <c r="Q179" i="5"/>
  <c r="Q419" i="5"/>
  <c r="O419" i="5"/>
  <c r="R419" i="5"/>
  <c r="R332" i="5"/>
  <c r="S339" i="5"/>
  <c r="S527" i="5"/>
  <c r="P352" i="5"/>
  <c r="T408" i="5"/>
  <c r="Q400" i="5"/>
  <c r="O400" i="5"/>
  <c r="P400" i="5"/>
  <c r="R400" i="5"/>
  <c r="T48" i="5"/>
  <c r="R289" i="5"/>
  <c r="R305" i="5"/>
  <c r="P271" i="5"/>
  <c r="P395" i="5"/>
  <c r="R314" i="5"/>
  <c r="P250" i="5"/>
  <c r="R152" i="5"/>
  <c r="P57" i="5"/>
  <c r="N57" i="5" s="1"/>
  <c r="M57" i="5" s="1"/>
  <c r="O439" i="5"/>
  <c r="P497" i="5"/>
  <c r="O331" i="5"/>
  <c r="O238" i="5"/>
  <c r="P449" i="5"/>
  <c r="Q77" i="5"/>
  <c r="P364" i="5"/>
  <c r="N364" i="5" s="1"/>
  <c r="M364" i="5" s="1"/>
  <c r="R20" i="5"/>
  <c r="O428" i="5"/>
  <c r="O336" i="5"/>
  <c r="N336" i="5" s="1"/>
  <c r="M336" i="5" s="1"/>
  <c r="Q38" i="5"/>
  <c r="P17" i="5"/>
  <c r="O28" i="5"/>
  <c r="P133" i="5"/>
  <c r="P194" i="5"/>
  <c r="O511" i="5"/>
  <c r="O281" i="5"/>
  <c r="N281" i="5" s="1"/>
  <c r="M281" i="5" s="1"/>
  <c r="P232" i="5"/>
  <c r="Q116" i="5"/>
  <c r="Q356" i="5"/>
  <c r="R300" i="5"/>
  <c r="S239" i="5"/>
  <c r="N362" i="5"/>
  <c r="M362" i="5" s="1"/>
  <c r="N305" i="5"/>
  <c r="M305" i="5" s="1"/>
  <c r="P339" i="5"/>
  <c r="T196" i="5"/>
  <c r="S196" i="5"/>
  <c r="T27" i="5"/>
  <c r="S27" i="5"/>
  <c r="O179" i="5"/>
  <c r="R179" i="5"/>
  <c r="S226" i="5"/>
  <c r="S237" i="5"/>
  <c r="S32" i="5"/>
  <c r="S100" i="5"/>
  <c r="S264" i="5"/>
  <c r="T364" i="5"/>
  <c r="S392" i="5"/>
  <c r="S526" i="5"/>
  <c r="T460" i="5"/>
  <c r="S337" i="5"/>
  <c r="S451" i="5"/>
  <c r="S532" i="5"/>
  <c r="S481" i="5"/>
  <c r="T435" i="5"/>
  <c r="T104" i="5"/>
  <c r="S178" i="5"/>
  <c r="S130" i="5"/>
  <c r="S96" i="5"/>
  <c r="S87" i="5"/>
  <c r="S110" i="5"/>
  <c r="S233" i="5"/>
  <c r="T242" i="5"/>
  <c r="T243" i="5"/>
  <c r="S506" i="5"/>
  <c r="S186" i="5"/>
  <c r="S113" i="5"/>
  <c r="T176" i="5"/>
  <c r="O121" i="5"/>
  <c r="S90" i="5"/>
  <c r="S220" i="5"/>
  <c r="P196" i="5"/>
  <c r="Q332" i="5"/>
  <c r="P88" i="5"/>
  <c r="N88" i="5" s="1"/>
  <c r="M88" i="5" s="1"/>
  <c r="L88" i="5" s="1"/>
  <c r="T114" i="5"/>
  <c r="T138" i="5"/>
  <c r="T223" i="5"/>
  <c r="R79" i="5"/>
  <c r="T235" i="5"/>
  <c r="T296" i="5"/>
  <c r="T155" i="5"/>
  <c r="S160" i="5"/>
  <c r="S55" i="5"/>
  <c r="P252" i="5"/>
  <c r="S81" i="5"/>
  <c r="T92" i="5"/>
  <c r="T51" i="5"/>
  <c r="T129" i="5"/>
  <c r="R352" i="5"/>
  <c r="Q316" i="5"/>
  <c r="T224" i="5"/>
  <c r="Q276" i="5"/>
  <c r="S195" i="5"/>
  <c r="T299" i="5"/>
  <c r="T56" i="5"/>
  <c r="Q524" i="5"/>
  <c r="S52" i="5"/>
  <c r="T541" i="5"/>
  <c r="T355" i="5"/>
  <c r="T309" i="5"/>
  <c r="S50" i="5"/>
  <c r="S60" i="5"/>
  <c r="S279" i="5"/>
  <c r="Q251" i="5"/>
  <c r="R309" i="5"/>
  <c r="S307" i="5"/>
  <c r="T478" i="5"/>
  <c r="S71" i="5"/>
  <c r="S431" i="5"/>
  <c r="O81" i="5"/>
  <c r="T207" i="5"/>
  <c r="P118" i="5"/>
  <c r="R484" i="5"/>
  <c r="S102" i="5"/>
  <c r="T161" i="5"/>
  <c r="R46" i="5"/>
  <c r="O215" i="5"/>
  <c r="T340" i="5"/>
  <c r="P447" i="5"/>
  <c r="T111" i="5"/>
  <c r="S181" i="5"/>
  <c r="T80" i="5"/>
  <c r="T509" i="5"/>
  <c r="S375" i="5"/>
  <c r="T178" i="5"/>
  <c r="T131" i="5"/>
  <c r="T360" i="5"/>
  <c r="S472" i="5"/>
  <c r="S31" i="5"/>
  <c r="O267" i="5"/>
  <c r="T163" i="5"/>
  <c r="Q508" i="5"/>
  <c r="Q32" i="5"/>
  <c r="P195" i="5"/>
  <c r="T536" i="5"/>
  <c r="T423" i="5"/>
  <c r="R469" i="5"/>
  <c r="O310" i="5"/>
  <c r="T228" i="5"/>
  <c r="O270" i="5"/>
  <c r="N270" i="5" s="1"/>
  <c r="M270" i="5" s="1"/>
  <c r="T494" i="5"/>
  <c r="S542" i="5"/>
  <c r="Q466" i="5"/>
  <c r="T535" i="5"/>
  <c r="S530" i="5"/>
  <c r="Q442" i="5"/>
  <c r="T448" i="5"/>
  <c r="O335" i="5"/>
  <c r="T212" i="5"/>
  <c r="S212" i="5"/>
  <c r="S189" i="5"/>
  <c r="T338" i="5"/>
  <c r="S256" i="5"/>
  <c r="T135" i="5"/>
  <c r="S179" i="5"/>
  <c r="T341" i="5"/>
  <c r="T292" i="5"/>
  <c r="S35" i="5"/>
  <c r="S424" i="5"/>
  <c r="T466" i="5"/>
  <c r="T259" i="5"/>
  <c r="T395" i="5"/>
  <c r="S539" i="5"/>
  <c r="S466" i="5"/>
  <c r="S222" i="5"/>
  <c r="O384" i="5"/>
  <c r="P475" i="5"/>
  <c r="P103" i="5"/>
  <c r="O235" i="5"/>
  <c r="T252" i="5"/>
  <c r="O113" i="5"/>
  <c r="N113" i="5" s="1"/>
  <c r="M113" i="5" s="1"/>
  <c r="R504" i="5"/>
  <c r="R197" i="5"/>
  <c r="Q146" i="5"/>
  <c r="T392" i="5"/>
  <c r="P244" i="5"/>
  <c r="S188" i="5"/>
  <c r="T416" i="5"/>
  <c r="T373" i="5"/>
  <c r="S434" i="5"/>
  <c r="S474" i="5"/>
  <c r="T532" i="5"/>
  <c r="O556" i="5"/>
  <c r="T263" i="5"/>
  <c r="T552" i="5"/>
  <c r="Q243" i="5"/>
  <c r="S335" i="5"/>
  <c r="S114" i="5"/>
  <c r="S82" i="5"/>
  <c r="S190" i="5"/>
  <c r="S407" i="5"/>
  <c r="R125" i="5"/>
  <c r="T527" i="5"/>
  <c r="T481" i="5"/>
  <c r="S483" i="5"/>
  <c r="T361" i="5"/>
  <c r="P23" i="5"/>
  <c r="T344" i="5"/>
  <c r="T192" i="5"/>
  <c r="R207" i="5"/>
  <c r="O446" i="5"/>
  <c r="R420" i="5"/>
  <c r="S272" i="5"/>
  <c r="S433" i="5"/>
  <c r="T495" i="5"/>
  <c r="S414" i="5"/>
  <c r="S168" i="5"/>
  <c r="S285" i="5"/>
  <c r="T468" i="5"/>
  <c r="O520" i="5"/>
  <c r="T179" i="5"/>
  <c r="S367" i="5"/>
  <c r="R217" i="5"/>
  <c r="T232" i="5"/>
  <c r="R137" i="5"/>
  <c r="T343" i="5"/>
  <c r="Q414" i="5"/>
  <c r="O464" i="5"/>
  <c r="N464" i="5" s="1"/>
  <c r="M464" i="5" s="1"/>
  <c r="O482" i="5"/>
  <c r="S551" i="5"/>
  <c r="Q516" i="5"/>
  <c r="R527" i="5"/>
  <c r="S101" i="5"/>
  <c r="Q561" i="5"/>
  <c r="T523" i="5"/>
  <c r="R409" i="5"/>
  <c r="S363" i="5"/>
  <c r="R213" i="5"/>
  <c r="T561" i="5"/>
  <c r="S460" i="5"/>
  <c r="T506" i="5"/>
  <c r="R548" i="5"/>
  <c r="R204" i="5"/>
  <c r="S184" i="5"/>
  <c r="T317" i="5"/>
  <c r="T186" i="5"/>
  <c r="T160" i="5"/>
  <c r="P397" i="5"/>
  <c r="T16" i="5"/>
  <c r="R333" i="5"/>
  <c r="R308" i="5"/>
  <c r="T274" i="5"/>
  <c r="T472" i="5"/>
  <c r="Q282" i="5"/>
  <c r="T233" i="5"/>
  <c r="S464" i="5"/>
  <c r="T285" i="5"/>
  <c r="T204" i="5"/>
  <c r="S446" i="5"/>
  <c r="T486" i="5"/>
  <c r="T290" i="5"/>
  <c r="S243" i="5"/>
  <c r="T328" i="5"/>
  <c r="P349" i="5"/>
  <c r="R464" i="5"/>
  <c r="P276" i="5"/>
  <c r="O442" i="5"/>
  <c r="R252" i="5"/>
  <c r="P310" i="5"/>
  <c r="Q469" i="5"/>
  <c r="P32" i="5"/>
  <c r="O118" i="5"/>
  <c r="O88" i="5"/>
  <c r="R524" i="5"/>
  <c r="R414" i="5"/>
  <c r="R154" i="5"/>
  <c r="R121" i="5"/>
  <c r="O339" i="5"/>
  <c r="Q548" i="5"/>
  <c r="R516" i="5"/>
  <c r="Q308" i="5"/>
  <c r="O397" i="5"/>
  <c r="R482" i="5"/>
  <c r="T151" i="5"/>
  <c r="T362" i="5"/>
  <c r="T219" i="5"/>
  <c r="T208" i="5"/>
  <c r="T331" i="5"/>
  <c r="P16" i="5"/>
  <c r="O16" i="5"/>
  <c r="Q16" i="5"/>
  <c r="R16" i="5"/>
  <c r="T530" i="5"/>
  <c r="O125" i="5"/>
  <c r="P213" i="5"/>
  <c r="N213" i="5" s="1"/>
  <c r="M213" i="5" s="1"/>
  <c r="Q244" i="5"/>
  <c r="Q197" i="5"/>
  <c r="O420" i="5"/>
  <c r="P207" i="5"/>
  <c r="P125" i="5"/>
  <c r="R349" i="5"/>
  <c r="R146" i="5"/>
  <c r="P137" i="5"/>
  <c r="P81" i="5"/>
  <c r="R282" i="5"/>
  <c r="R235" i="5"/>
  <c r="P384" i="5"/>
  <c r="N384" i="5" s="1"/>
  <c r="M384" i="5" s="1"/>
  <c r="P335" i="5"/>
  <c r="N335" i="5" s="1"/>
  <c r="M335" i="5" s="1"/>
  <c r="R447" i="5"/>
  <c r="P504" i="5"/>
  <c r="Q113" i="5"/>
  <c r="O276" i="5"/>
  <c r="R442" i="5"/>
  <c r="O252" i="5"/>
  <c r="P217" i="5"/>
  <c r="Q310" i="5"/>
  <c r="O469" i="5"/>
  <c r="O32" i="5"/>
  <c r="N32" i="5" s="1"/>
  <c r="M32" i="5" s="1"/>
  <c r="R118" i="5"/>
  <c r="R88" i="5"/>
  <c r="P524" i="5"/>
  <c r="O414" i="5"/>
  <c r="O154" i="5"/>
  <c r="P121" i="5"/>
  <c r="N121" i="5" s="1"/>
  <c r="M121" i="5" s="1"/>
  <c r="O548" i="5"/>
  <c r="O516" i="5"/>
  <c r="Q397" i="5"/>
  <c r="N392" i="5"/>
  <c r="M392" i="5" s="1"/>
  <c r="N318" i="5"/>
  <c r="M318" i="5" s="1"/>
  <c r="N421" i="5"/>
  <c r="M421" i="5" s="1"/>
  <c r="O251" i="5"/>
  <c r="T407" i="5"/>
  <c r="T132" i="5"/>
  <c r="T531" i="5"/>
  <c r="O349" i="5"/>
  <c r="N349" i="5" s="1"/>
  <c r="M349" i="5" s="1"/>
  <c r="P235" i="5"/>
  <c r="Q103" i="5"/>
  <c r="O475" i="5"/>
  <c r="Q384" i="5"/>
  <c r="P420" i="5"/>
  <c r="N420" i="5" s="1"/>
  <c r="M420" i="5" s="1"/>
  <c r="P446" i="5"/>
  <c r="N446" i="5" s="1"/>
  <c r="M446" i="5" s="1"/>
  <c r="O146" i="5"/>
  <c r="Q137" i="5"/>
  <c r="P282" i="5"/>
  <c r="Q235" i="5"/>
  <c r="R384" i="5"/>
  <c r="R335" i="5"/>
  <c r="O447" i="5"/>
  <c r="N447" i="5" s="1"/>
  <c r="M447" i="5" s="1"/>
  <c r="Q504" i="5"/>
  <c r="P113" i="5"/>
  <c r="P161" i="5"/>
  <c r="P442" i="5"/>
  <c r="P466" i="5"/>
  <c r="Q252" i="5"/>
  <c r="Q217" i="5"/>
  <c r="P469" i="5"/>
  <c r="P484" i="5"/>
  <c r="Q118" i="5"/>
  <c r="P79" i="5"/>
  <c r="Q88" i="5"/>
  <c r="O524" i="5"/>
  <c r="P414" i="5"/>
  <c r="Q154" i="5"/>
  <c r="Q121" i="5"/>
  <c r="P516" i="5"/>
  <c r="P251" i="5"/>
  <c r="N251" i="5" s="1"/>
  <c r="M251" i="5" s="1"/>
  <c r="T525" i="5"/>
  <c r="T467" i="5"/>
  <c r="Q207" i="5"/>
  <c r="O23" i="5"/>
  <c r="Q125" i="5"/>
  <c r="O207" i="5"/>
  <c r="N207" i="5" s="1"/>
  <c r="M207" i="5" s="1"/>
  <c r="Q23" i="5"/>
  <c r="P520" i="5"/>
  <c r="R81" i="5"/>
  <c r="O282" i="5"/>
  <c r="O504" i="5"/>
  <c r="Q420" i="5"/>
  <c r="R446" i="5"/>
  <c r="R319" i="5"/>
  <c r="Q556" i="5"/>
  <c r="P146" i="5"/>
  <c r="N146" i="5" s="1"/>
  <c r="M146" i="5" s="1"/>
  <c r="O137" i="5"/>
  <c r="Q335" i="5"/>
  <c r="Q447" i="5"/>
  <c r="P243" i="5"/>
  <c r="R113" i="5"/>
  <c r="R316" i="5"/>
  <c r="O161" i="5"/>
  <c r="Q527" i="5"/>
  <c r="O466" i="5"/>
  <c r="R215" i="5"/>
  <c r="O217" i="5"/>
  <c r="N551" i="5"/>
  <c r="M551" i="5" s="1"/>
  <c r="O195" i="5"/>
  <c r="O508" i="5"/>
  <c r="N508" i="5" s="1"/>
  <c r="M508" i="5" s="1"/>
  <c r="O484" i="5"/>
  <c r="O79" i="5"/>
  <c r="O332" i="5"/>
  <c r="O196" i="5"/>
  <c r="O204" i="5"/>
  <c r="R251" i="5"/>
  <c r="T134" i="5"/>
  <c r="R520" i="5"/>
  <c r="P319" i="5"/>
  <c r="N319" i="5" s="1"/>
  <c r="M319" i="5" s="1"/>
  <c r="O333" i="5"/>
  <c r="N333" i="5" s="1"/>
  <c r="M333" i="5" s="1"/>
  <c r="R556" i="5"/>
  <c r="O561" i="5"/>
  <c r="R243" i="5"/>
  <c r="Q270" i="5"/>
  <c r="O316" i="5"/>
  <c r="N316" i="5" s="1"/>
  <c r="M316" i="5" s="1"/>
  <c r="Q352" i="5"/>
  <c r="O527" i="5"/>
  <c r="N527" i="5" s="1"/>
  <c r="M527" i="5" s="1"/>
  <c r="Q215" i="5"/>
  <c r="O46" i="5"/>
  <c r="N46" i="5" s="1"/>
  <c r="M46" i="5" s="1"/>
  <c r="Q195" i="5"/>
  <c r="R508" i="5"/>
  <c r="R267" i="5"/>
  <c r="P332" i="5"/>
  <c r="O409" i="5"/>
  <c r="N409" i="5" s="1"/>
  <c r="M409" i="5" s="1"/>
  <c r="R196" i="5"/>
  <c r="N553" i="5"/>
  <c r="M553" i="5" s="1"/>
  <c r="P204" i="5"/>
  <c r="N141" i="5"/>
  <c r="M141" i="5" s="1"/>
  <c r="Q309" i="5"/>
  <c r="T74" i="5"/>
  <c r="T218" i="5"/>
  <c r="T300" i="5"/>
  <c r="T110" i="5"/>
  <c r="T479" i="5"/>
  <c r="T93" i="5"/>
  <c r="T175" i="5"/>
  <c r="T367" i="5"/>
  <c r="Q213" i="5"/>
  <c r="Q333" i="5"/>
  <c r="O244" i="5"/>
  <c r="N244" i="5" s="1"/>
  <c r="M244" i="5" s="1"/>
  <c r="L244" i="5" s="1"/>
  <c r="O197" i="5"/>
  <c r="N197" i="5" s="1"/>
  <c r="M197" i="5" s="1"/>
  <c r="Q464" i="5"/>
  <c r="Q81" i="5"/>
  <c r="P561" i="5"/>
  <c r="O103" i="5"/>
  <c r="N103" i="5" s="1"/>
  <c r="M103" i="5" s="1"/>
  <c r="Q475" i="5"/>
  <c r="R270" i="5"/>
  <c r="R276" i="5"/>
  <c r="O352" i="5"/>
  <c r="N352" i="5" s="1"/>
  <c r="M352" i="5" s="1"/>
  <c r="L352" i="5" s="1"/>
  <c r="N89" i="5"/>
  <c r="M89" i="5" s="1"/>
  <c r="Q46" i="5"/>
  <c r="R310" i="5"/>
  <c r="R32" i="5"/>
  <c r="P267" i="5"/>
  <c r="N218" i="5"/>
  <c r="M218" i="5" s="1"/>
  <c r="Q409" i="5"/>
  <c r="R339" i="5"/>
  <c r="P548" i="5"/>
  <c r="O308" i="5"/>
  <c r="N308" i="5" s="1"/>
  <c r="M308" i="5" s="1"/>
  <c r="R397" i="5"/>
  <c r="Q482" i="5"/>
  <c r="P309" i="5"/>
  <c r="T40" i="5"/>
  <c r="T190" i="5"/>
  <c r="T424" i="5"/>
  <c r="T59" i="5"/>
  <c r="N38" i="5"/>
  <c r="M38" i="5" s="1"/>
  <c r="N274" i="5"/>
  <c r="M274" i="5" s="1"/>
  <c r="N462" i="5"/>
  <c r="M462" i="5" s="1"/>
  <c r="N245" i="5"/>
  <c r="M245" i="5" s="1"/>
  <c r="N124" i="5"/>
  <c r="M124" i="5" s="1"/>
  <c r="N299" i="5"/>
  <c r="M299" i="5" s="1"/>
  <c r="N523" i="5"/>
  <c r="M523" i="5" s="1"/>
  <c r="N271" i="5"/>
  <c r="M271" i="5" s="1"/>
  <c r="N205" i="5"/>
  <c r="M205" i="5" s="1"/>
  <c r="N84" i="5"/>
  <c r="M84" i="5" s="1"/>
  <c r="N174" i="5"/>
  <c r="M174" i="5" s="1"/>
  <c r="N241" i="5"/>
  <c r="M241" i="5" s="1"/>
  <c r="N519" i="5"/>
  <c r="M519" i="5" s="1"/>
  <c r="N558" i="5"/>
  <c r="M558" i="5" s="1"/>
  <c r="N277" i="5"/>
  <c r="M277" i="5" s="1"/>
  <c r="N518" i="5"/>
  <c r="M518" i="5" s="1"/>
  <c r="N388" i="5"/>
  <c r="M388" i="5" s="1"/>
  <c r="N102" i="5"/>
  <c r="M102" i="5" s="1"/>
  <c r="N178" i="5"/>
  <c r="M178" i="5" s="1"/>
  <c r="N380" i="5"/>
  <c r="M380" i="5" s="1"/>
  <c r="N233" i="5"/>
  <c r="M233" i="5" s="1"/>
  <c r="N381" i="5"/>
  <c r="M381" i="5" s="1"/>
  <c r="N301" i="5"/>
  <c r="M301" i="5" s="1"/>
  <c r="L301" i="5" s="1"/>
  <c r="N50" i="5"/>
  <c r="M50" i="5" s="1"/>
  <c r="N303" i="5"/>
  <c r="M303" i="5" s="1"/>
  <c r="N17" i="5"/>
  <c r="M17" i="5" s="1"/>
  <c r="N543" i="5"/>
  <c r="M543" i="5" s="1"/>
  <c r="N297" i="5"/>
  <c r="M297" i="5" s="1"/>
  <c r="N313" i="5"/>
  <c r="M313" i="5" s="1"/>
  <c r="L421" i="5"/>
  <c r="N283" i="5"/>
  <c r="M283" i="5" s="1"/>
  <c r="N391" i="5"/>
  <c r="M391" i="5" s="1"/>
  <c r="N347" i="5"/>
  <c r="M347" i="5" s="1"/>
  <c r="N53" i="5"/>
  <c r="M53" i="5" s="1"/>
  <c r="N143" i="5"/>
  <c r="M143" i="5" s="1"/>
  <c r="N542" i="5"/>
  <c r="M542" i="5" s="1"/>
  <c r="N532" i="5"/>
  <c r="M532" i="5" s="1"/>
  <c r="N338" i="5"/>
  <c r="M338" i="5" s="1"/>
  <c r="N500" i="5"/>
  <c r="M500" i="5" s="1"/>
  <c r="N19" i="5"/>
  <c r="M19" i="5" s="1"/>
  <c r="L19" i="5" s="1"/>
  <c r="N363" i="5"/>
  <c r="M363" i="5" s="1"/>
  <c r="N394" i="5"/>
  <c r="M394" i="5" s="1"/>
  <c r="N311" i="5"/>
  <c r="M311" i="5" s="1"/>
  <c r="N80" i="5"/>
  <c r="M80" i="5" s="1"/>
  <c r="N279" i="5"/>
  <c r="M279" i="5" s="1"/>
  <c r="N100" i="5"/>
  <c r="M100" i="5" s="1"/>
  <c r="N264" i="5"/>
  <c r="M264" i="5" s="1"/>
  <c r="L264" i="5" s="1"/>
  <c r="N189" i="5"/>
  <c r="M189" i="5" s="1"/>
  <c r="N135" i="5"/>
  <c r="M135" i="5" s="1"/>
  <c r="N385" i="5"/>
  <c r="M385" i="5" s="1"/>
  <c r="N254" i="5"/>
  <c r="M254" i="5" s="1"/>
  <c r="N200" i="5"/>
  <c r="M200" i="5" s="1"/>
  <c r="N98" i="5"/>
  <c r="M98" i="5" s="1"/>
  <c r="N538" i="5"/>
  <c r="M538" i="5" s="1"/>
  <c r="N164" i="5"/>
  <c r="M164" i="5" s="1"/>
  <c r="N191" i="5"/>
  <c r="M191" i="5" s="1"/>
  <c r="N556" i="5"/>
  <c r="M556" i="5" s="1"/>
  <c r="N443" i="5"/>
  <c r="M443" i="5" s="1"/>
  <c r="N387" i="5"/>
  <c r="M387" i="5" s="1"/>
  <c r="N220" i="5"/>
  <c r="M220" i="5" s="1"/>
  <c r="N408" i="5"/>
  <c r="M408" i="5" s="1"/>
  <c r="N501" i="5"/>
  <c r="M501" i="5" s="1"/>
  <c r="N28" i="5"/>
  <c r="M28" i="5" s="1"/>
  <c r="N455" i="5"/>
  <c r="M455" i="5" s="1"/>
  <c r="N422" i="5"/>
  <c r="M422" i="5" s="1"/>
  <c r="N430" i="5"/>
  <c r="M430" i="5" s="1"/>
  <c r="N291" i="5"/>
  <c r="M291" i="5" s="1"/>
  <c r="N494" i="5"/>
  <c r="M494" i="5" s="1"/>
  <c r="N211" i="5"/>
  <c r="M211" i="5" s="1"/>
  <c r="N145" i="5"/>
  <c r="M145" i="5" s="1"/>
  <c r="L145" i="5" s="1"/>
  <c r="N465" i="5"/>
  <c r="M465" i="5" s="1"/>
  <c r="N323" i="5"/>
  <c r="M323" i="5" s="1"/>
  <c r="N257" i="5"/>
  <c r="M257" i="5" s="1"/>
  <c r="N533" i="5"/>
  <c r="M533" i="5" s="1"/>
  <c r="N69" i="5"/>
  <c r="M69" i="5" s="1"/>
  <c r="N452" i="5"/>
  <c r="M452" i="5" s="1"/>
  <c r="N61" i="5"/>
  <c r="M61" i="5" s="1"/>
  <c r="N302" i="5"/>
  <c r="M302" i="5" s="1"/>
  <c r="N450" i="5"/>
  <c r="M450" i="5" s="1"/>
  <c r="N182" i="5"/>
  <c r="M182" i="5" s="1"/>
  <c r="N374" i="5"/>
  <c r="M374" i="5" s="1"/>
  <c r="N437" i="5"/>
  <c r="M437" i="5" s="1"/>
  <c r="N295" i="5"/>
  <c r="M295" i="5" s="1"/>
  <c r="N495" i="5"/>
  <c r="M495" i="5" s="1"/>
  <c r="N276" i="5"/>
  <c r="M276" i="5" s="1"/>
  <c r="N414" i="5"/>
  <c r="M414" i="5" s="1"/>
  <c r="N559" i="5"/>
  <c r="M559" i="5" s="1"/>
  <c r="N320" i="5"/>
  <c r="M320" i="5" s="1"/>
  <c r="N275" i="5"/>
  <c r="M275" i="5" s="1"/>
  <c r="N184" i="5"/>
  <c r="M184" i="5" s="1"/>
  <c r="N427" i="5"/>
  <c r="M427" i="5" s="1"/>
  <c r="N152" i="5"/>
  <c r="M152" i="5" s="1"/>
  <c r="N492" i="5"/>
  <c r="M492" i="5" s="1"/>
  <c r="N99" i="5"/>
  <c r="M99" i="5" s="1"/>
  <c r="N166" i="5"/>
  <c r="M166" i="5" s="1"/>
  <c r="N153" i="5"/>
  <c r="M153" i="5" s="1"/>
  <c r="N373" i="5"/>
  <c r="M373" i="5" s="1"/>
  <c r="N24" i="5"/>
  <c r="M24" i="5" s="1"/>
  <c r="N242" i="5"/>
  <c r="M242" i="5" s="1"/>
  <c r="N510" i="5"/>
  <c r="M510" i="5" s="1"/>
  <c r="N76" i="5"/>
  <c r="M76" i="5" s="1"/>
  <c r="N255" i="5"/>
  <c r="M255" i="5" s="1"/>
  <c r="N55" i="5"/>
  <c r="M55" i="5" s="1"/>
  <c r="N468" i="5"/>
  <c r="M468" i="5" s="1"/>
  <c r="N81" i="5"/>
  <c r="M81" i="5" s="1"/>
  <c r="N304" i="5"/>
  <c r="M304" i="5" s="1"/>
  <c r="N163" i="5"/>
  <c r="M163" i="5" s="1"/>
  <c r="N406" i="5"/>
  <c r="M406" i="5" s="1"/>
  <c r="N435" i="5"/>
  <c r="M435" i="5" s="1"/>
  <c r="N192" i="5"/>
  <c r="M192" i="5" s="1"/>
  <c r="N278" i="5"/>
  <c r="M278" i="5" s="1"/>
  <c r="N386" i="5"/>
  <c r="M386" i="5" s="1"/>
  <c r="N493" i="5"/>
  <c r="M493" i="5" s="1"/>
  <c r="N530" i="5"/>
  <c r="M530" i="5" s="1"/>
  <c r="N488" i="5"/>
  <c r="M488" i="5" s="1"/>
  <c r="N96" i="5"/>
  <c r="M96" i="5" s="1"/>
  <c r="N343" i="5"/>
  <c r="M343" i="5" s="1"/>
  <c r="N202" i="5"/>
  <c r="M202" i="5" s="1"/>
  <c r="N136" i="5"/>
  <c r="M136" i="5" s="1"/>
  <c r="N33" i="5"/>
  <c r="M33" i="5" s="1"/>
  <c r="N210" i="5"/>
  <c r="M210" i="5" s="1"/>
  <c r="N491" i="5"/>
  <c r="M491" i="5" s="1"/>
  <c r="N239" i="5"/>
  <c r="M239" i="5" s="1"/>
  <c r="N60" i="5"/>
  <c r="M60" i="5" s="1"/>
  <c r="N399" i="5"/>
  <c r="M399" i="5" s="1"/>
  <c r="N45" i="5"/>
  <c r="M45" i="5" s="1"/>
  <c r="N419" i="5"/>
  <c r="M419" i="5" s="1"/>
  <c r="N483" i="5"/>
  <c r="M483" i="5" s="1"/>
  <c r="L483" i="5" s="1"/>
  <c r="N37" i="5"/>
  <c r="M37" i="5" s="1"/>
  <c r="N154" i="5"/>
  <c r="M154" i="5" s="1"/>
  <c r="N56" i="5"/>
  <c r="M56" i="5" s="1"/>
  <c r="N215" i="5"/>
  <c r="M215" i="5" s="1"/>
  <c r="N292" i="5"/>
  <c r="M292" i="5" s="1"/>
  <c r="N30" i="5"/>
  <c r="M30" i="5" s="1"/>
  <c r="N496" i="5"/>
  <c r="M496" i="5" s="1"/>
  <c r="N397" i="5"/>
  <c r="M397" i="5" s="1"/>
  <c r="N525" i="5"/>
  <c r="M525" i="5" s="1"/>
  <c r="L392" i="5"/>
  <c r="N266" i="5"/>
  <c r="M266" i="5" s="1"/>
  <c r="N459" i="5"/>
  <c r="M459" i="5" s="1"/>
  <c r="N382" i="5"/>
  <c r="M382" i="5" s="1"/>
  <c r="N243" i="5"/>
  <c r="M243" i="5" s="1"/>
  <c r="L243" i="5" s="1"/>
  <c r="N511" i="5"/>
  <c r="M511" i="5" s="1"/>
  <c r="N433" i="5"/>
  <c r="M433" i="5" s="1"/>
  <c r="L437" i="5" s="1"/>
  <c r="N355" i="5"/>
  <c r="M355" i="5" s="1"/>
  <c r="N47" i="5"/>
  <c r="M47" i="5" s="1"/>
  <c r="N51" i="5"/>
  <c r="M51" i="5" s="1"/>
  <c r="N476" i="5"/>
  <c r="M476" i="5" s="1"/>
  <c r="N407" i="5"/>
  <c r="M407" i="5" s="1"/>
  <c r="N402" i="5"/>
  <c r="M402" i="5" s="1"/>
  <c r="N296" i="5"/>
  <c r="M296" i="5" s="1"/>
  <c r="N190" i="5"/>
  <c r="M190" i="5" s="1"/>
  <c r="N128" i="5"/>
  <c r="M128" i="5" s="1"/>
  <c r="L128" i="5" s="1"/>
  <c r="N62" i="5"/>
  <c r="M62" i="5" s="1"/>
  <c r="N31" i="5"/>
  <c r="M31" i="5" s="1"/>
  <c r="N400" i="5"/>
  <c r="M400" i="5" s="1"/>
  <c r="N372" i="5"/>
  <c r="M372" i="5" s="1"/>
  <c r="N195" i="5"/>
  <c r="M195" i="5" s="1"/>
  <c r="L195" i="5" s="1"/>
  <c r="N267" i="5"/>
  <c r="M267" i="5" s="1"/>
  <c r="N236" i="5"/>
  <c r="M236" i="5" s="1"/>
  <c r="N344" i="5"/>
  <c r="M344" i="5" s="1"/>
  <c r="N155" i="5"/>
  <c r="M155" i="5" s="1"/>
  <c r="N526" i="5"/>
  <c r="M526" i="5" s="1"/>
  <c r="N139" i="5"/>
  <c r="M139" i="5" s="1"/>
  <c r="N169" i="5"/>
  <c r="M169" i="5" s="1"/>
  <c r="N322" i="5"/>
  <c r="M322" i="5" s="1"/>
  <c r="L322" i="5" s="1"/>
  <c r="N159" i="5"/>
  <c r="M159" i="5" s="1"/>
  <c r="N68" i="5"/>
  <c r="M68" i="5" s="1"/>
  <c r="N358" i="5"/>
  <c r="M358" i="5" s="1"/>
  <c r="N460" i="5"/>
  <c r="M460" i="5" s="1"/>
  <c r="N66" i="5"/>
  <c r="M66" i="5" s="1"/>
  <c r="L66" i="5" s="1"/>
  <c r="N411" i="5"/>
  <c r="M411" i="5" s="1"/>
  <c r="N440" i="5"/>
  <c r="M440" i="5" s="1"/>
  <c r="N208" i="5"/>
  <c r="M208" i="5" s="1"/>
  <c r="N418" i="5"/>
  <c r="M418" i="5" s="1"/>
  <c r="N151" i="5"/>
  <c r="M151" i="5" s="1"/>
  <c r="N369" i="5"/>
  <c r="M369" i="5" s="1"/>
  <c r="N54" i="5"/>
  <c r="M54" i="5" s="1"/>
  <c r="N269" i="5"/>
  <c r="M269" i="5" s="1"/>
  <c r="N287" i="5"/>
  <c r="M287" i="5" s="1"/>
  <c r="N351" i="5"/>
  <c r="M351" i="5" s="1"/>
  <c r="N457" i="5"/>
  <c r="M457" i="5" s="1"/>
  <c r="N448" i="5"/>
  <c r="M448" i="5" s="1"/>
  <c r="N345" i="5"/>
  <c r="M345" i="5" s="1"/>
  <c r="N107" i="5"/>
  <c r="M107" i="5" s="1"/>
  <c r="N223" i="5"/>
  <c r="M223" i="5" s="1"/>
  <c r="N43" i="5"/>
  <c r="M43" i="5" s="1"/>
  <c r="N280" i="5"/>
  <c r="M280" i="5" s="1"/>
  <c r="L280" i="5" s="1"/>
  <c r="N111" i="5"/>
  <c r="M111" i="5" s="1"/>
  <c r="N331" i="5"/>
  <c r="M331" i="5" s="1"/>
  <c r="L331" i="5" s="1"/>
  <c r="N77" i="5"/>
  <c r="M77" i="5" s="1"/>
  <c r="N140" i="5"/>
  <c r="M140" i="5" s="1"/>
  <c r="N94" i="5"/>
  <c r="M94" i="5" s="1"/>
  <c r="N104" i="5"/>
  <c r="M104" i="5" s="1"/>
  <c r="N85" i="5"/>
  <c r="M85" i="5" s="1"/>
  <c r="L89" i="5" s="1"/>
  <c r="N231" i="5"/>
  <c r="M231" i="5" s="1"/>
  <c r="N148" i="5"/>
  <c r="M148" i="5" s="1"/>
  <c r="N168" i="5"/>
  <c r="M168" i="5" s="1"/>
  <c r="N90" i="5"/>
  <c r="M90" i="5" s="1"/>
  <c r="N342" i="5"/>
  <c r="M342" i="5" s="1"/>
  <c r="N39" i="5"/>
  <c r="M39" i="5" s="1"/>
  <c r="N203" i="5"/>
  <c r="M203" i="5" s="1"/>
  <c r="N461" i="5"/>
  <c r="M461" i="5" s="1"/>
  <c r="N389" i="5"/>
  <c r="M389" i="5" s="1"/>
  <c r="L389" i="5" s="1"/>
  <c r="N118" i="5"/>
  <c r="M118" i="5" s="1"/>
  <c r="N325" i="5"/>
  <c r="M325" i="5" s="1"/>
  <c r="N545" i="5"/>
  <c r="M545" i="5" s="1"/>
  <c r="N453" i="5"/>
  <c r="M453" i="5" s="1"/>
  <c r="N370" i="5"/>
  <c r="M370" i="5" s="1"/>
  <c r="N196" i="5"/>
  <c r="M196" i="5" s="1"/>
  <c r="N44" i="5"/>
  <c r="M44" i="5" s="1"/>
  <c r="N512" i="5"/>
  <c r="M512" i="5" s="1"/>
  <c r="N341" i="5"/>
  <c r="M341" i="5" s="1"/>
  <c r="N246" i="5"/>
  <c r="M246" i="5" s="1"/>
  <c r="N222" i="5"/>
  <c r="M222" i="5" s="1"/>
  <c r="N193" i="5"/>
  <c r="M193" i="5" s="1"/>
  <c r="L193" i="5" s="1"/>
  <c r="N489" i="5"/>
  <c r="M489" i="5" s="1"/>
  <c r="L493" i="5" s="1"/>
  <c r="N250" i="5"/>
  <c r="M250" i="5" s="1"/>
  <c r="N282" i="5"/>
  <c r="M282" i="5" s="1"/>
  <c r="N544" i="5"/>
  <c r="M544" i="5" s="1"/>
  <c r="N438" i="5"/>
  <c r="M438" i="5" s="1"/>
  <c r="N490" i="5"/>
  <c r="M490" i="5" s="1"/>
  <c r="N441" i="5"/>
  <c r="M441" i="5" s="1"/>
  <c r="N142" i="5"/>
  <c r="M142" i="5" s="1"/>
  <c r="N326" i="5"/>
  <c r="M326" i="5" s="1"/>
  <c r="N248" i="5"/>
  <c r="M248" i="5" s="1"/>
  <c r="N225" i="5"/>
  <c r="M225" i="5" s="1"/>
  <c r="N552" i="5"/>
  <c r="M552" i="5" s="1"/>
  <c r="N240" i="5"/>
  <c r="M240" i="5" s="1"/>
  <c r="N188" i="5"/>
  <c r="M188" i="5" s="1"/>
  <c r="N505" i="5"/>
  <c r="M505" i="5" s="1"/>
  <c r="N126" i="5"/>
  <c r="M126" i="5" s="1"/>
  <c r="N497" i="5"/>
  <c r="M497" i="5" s="1"/>
  <c r="N521" i="5"/>
  <c r="M521" i="5" s="1"/>
  <c r="N442" i="5"/>
  <c r="M442" i="5" s="1"/>
  <c r="N87" i="5"/>
  <c r="M87" i="5" s="1"/>
  <c r="N550" i="5"/>
  <c r="M550" i="5" s="1"/>
  <c r="L550" i="5" s="1"/>
  <c r="N183" i="5"/>
  <c r="M183" i="5" s="1"/>
  <c r="L183" i="5" s="1"/>
  <c r="N350" i="5"/>
  <c r="M350" i="5" s="1"/>
  <c r="N383" i="5"/>
  <c r="M383" i="5" s="1"/>
  <c r="N23" i="5"/>
  <c r="M23" i="5" s="1"/>
  <c r="N503" i="5"/>
  <c r="M503" i="5" s="1"/>
  <c r="N201" i="5"/>
  <c r="M201" i="5" s="1"/>
  <c r="L205" i="5" s="1"/>
  <c r="N506" i="5"/>
  <c r="M506" i="5" s="1"/>
  <c r="N486" i="5"/>
  <c r="M486" i="5" s="1"/>
  <c r="N376" i="5"/>
  <c r="M376" i="5" s="1"/>
  <c r="N149" i="5"/>
  <c r="M149" i="5" s="1"/>
  <c r="L153" i="5" s="1"/>
  <c r="N330" i="5"/>
  <c r="M330" i="5" s="1"/>
  <c r="N167" i="5"/>
  <c r="M167" i="5" s="1"/>
  <c r="N25" i="5"/>
  <c r="M25" i="5" s="1"/>
  <c r="N471" i="5"/>
  <c r="M471" i="5" s="1"/>
  <c r="N431" i="5"/>
  <c r="M431" i="5" s="1"/>
  <c r="N217" i="5"/>
  <c r="M217" i="5" s="1"/>
  <c r="L217" i="5" s="1"/>
  <c r="N513" i="5"/>
  <c r="M513" i="5" s="1"/>
  <c r="N300" i="5"/>
  <c r="M300" i="5" s="1"/>
  <c r="N263" i="5"/>
  <c r="M263" i="5" s="1"/>
  <c r="N403" i="5"/>
  <c r="M403" i="5" s="1"/>
  <c r="L403" i="5" s="1"/>
  <c r="N147" i="5"/>
  <c r="M147" i="5" s="1"/>
  <c r="L147" i="5" s="1"/>
  <c r="N249" i="5"/>
  <c r="M249" i="5" s="1"/>
  <c r="L249" i="5" s="1"/>
  <c r="N131" i="5"/>
  <c r="M131" i="5" s="1"/>
  <c r="N307" i="5"/>
  <c r="M307" i="5" s="1"/>
  <c r="L311" i="5" s="1"/>
  <c r="N434" i="5"/>
  <c r="M434" i="5" s="1"/>
  <c r="N216" i="5"/>
  <c r="M216" i="5" s="1"/>
  <c r="N472" i="5"/>
  <c r="M472" i="5" s="1"/>
  <c r="L472" i="5" s="1"/>
  <c r="N156" i="5"/>
  <c r="M156" i="5" s="1"/>
  <c r="N247" i="5"/>
  <c r="M247" i="5" s="1"/>
  <c r="N173" i="5"/>
  <c r="M173" i="5" s="1"/>
  <c r="N547" i="5"/>
  <c r="M547" i="5" s="1"/>
  <c r="L551" i="5" s="1"/>
  <c r="N390" i="5"/>
  <c r="M390" i="5" s="1"/>
  <c r="N507" i="5"/>
  <c r="M507" i="5" s="1"/>
  <c r="N209" i="5"/>
  <c r="M209" i="5" s="1"/>
  <c r="L209" i="5" s="1"/>
  <c r="N109" i="5"/>
  <c r="M109" i="5" s="1"/>
  <c r="N561" i="5"/>
  <c r="M561" i="5" s="1"/>
  <c r="N481" i="5"/>
  <c r="M481" i="5" s="1"/>
  <c r="N473" i="5"/>
  <c r="M473" i="5" s="1"/>
  <c r="N445" i="5"/>
  <c r="M445" i="5" s="1"/>
  <c r="N535" i="5"/>
  <c r="M535" i="5" s="1"/>
  <c r="N555" i="5"/>
  <c r="M555" i="5" s="1"/>
  <c r="L555" i="5" s="1"/>
  <c r="N540" i="5"/>
  <c r="M540" i="5" s="1"/>
  <c r="N41" i="5"/>
  <c r="M41" i="5" s="1"/>
  <c r="L41" i="5" s="1"/>
  <c r="N160" i="5"/>
  <c r="M160" i="5" s="1"/>
  <c r="N72" i="5"/>
  <c r="M72" i="5" s="1"/>
  <c r="N48" i="5"/>
  <c r="M48" i="5" s="1"/>
  <c r="L48" i="5" s="1"/>
  <c r="N522" i="5"/>
  <c r="M522" i="5" s="1"/>
  <c r="N199" i="5"/>
  <c r="M199" i="5" s="1"/>
  <c r="N379" i="5"/>
  <c r="M379" i="5" s="1"/>
  <c r="N524" i="5"/>
  <c r="M524" i="5" s="1"/>
  <c r="N366" i="5"/>
  <c r="M366" i="5" s="1"/>
  <c r="L366" i="5" s="1"/>
  <c r="N58" i="5"/>
  <c r="M58" i="5" s="1"/>
  <c r="N560" i="5"/>
  <c r="M560" i="5" s="1"/>
  <c r="N410" i="5"/>
  <c r="M410" i="5" s="1"/>
  <c r="N261" i="5"/>
  <c r="M261" i="5" s="1"/>
  <c r="L261" i="5" s="1"/>
  <c r="N306" i="5"/>
  <c r="M306" i="5" s="1"/>
  <c r="N531" i="5"/>
  <c r="M531" i="5" s="1"/>
  <c r="N482" i="5"/>
  <c r="M482" i="5" s="1"/>
  <c r="N78" i="5"/>
  <c r="M78" i="5" s="1"/>
  <c r="N480" i="5"/>
  <c r="M480" i="5" s="1"/>
  <c r="L480" i="5" s="1"/>
  <c r="N405" i="5"/>
  <c r="M405" i="5" s="1"/>
  <c r="N226" i="5"/>
  <c r="M226" i="5" s="1"/>
  <c r="N398" i="5"/>
  <c r="M398" i="5" s="1"/>
  <c r="L398" i="5" s="1"/>
  <c r="N86" i="5"/>
  <c r="M86" i="5" s="1"/>
  <c r="N21" i="5"/>
  <c r="M21" i="5" s="1"/>
  <c r="N289" i="5"/>
  <c r="M289" i="5" s="1"/>
  <c r="N258" i="5"/>
  <c r="M258" i="5" s="1"/>
  <c r="N35" i="5"/>
  <c r="M35" i="5" s="1"/>
  <c r="N451" i="5"/>
  <c r="M451" i="5" s="1"/>
  <c r="N314" i="5"/>
  <c r="M314" i="5" s="1"/>
  <c r="N449" i="5"/>
  <c r="M449" i="5" s="1"/>
  <c r="N534" i="5"/>
  <c r="M534" i="5" s="1"/>
  <c r="N475" i="5"/>
  <c r="M475" i="5" s="1"/>
  <c r="N20" i="5"/>
  <c r="M20" i="5" s="1"/>
  <c r="N36" i="5"/>
  <c r="M36" i="5" s="1"/>
  <c r="N117" i="5"/>
  <c r="M117" i="5" s="1"/>
  <c r="N470" i="5"/>
  <c r="M470" i="5" s="1"/>
  <c r="N194" i="5"/>
  <c r="M194" i="5" s="1"/>
  <c r="L194" i="5" s="1"/>
  <c r="N426" i="5"/>
  <c r="M426" i="5" s="1"/>
  <c r="N463" i="5"/>
  <c r="M463" i="5" s="1"/>
  <c r="N499" i="5"/>
  <c r="M499" i="5" s="1"/>
  <c r="L499" i="5" s="1"/>
  <c r="N487" i="5"/>
  <c r="M487" i="5" s="1"/>
  <c r="L487" i="5" s="1"/>
  <c r="N252" i="5"/>
  <c r="M252" i="5" s="1"/>
  <c r="N502" i="5"/>
  <c r="M502" i="5" s="1"/>
  <c r="N337" i="5"/>
  <c r="M337" i="5" s="1"/>
  <c r="N34" i="5"/>
  <c r="M34" i="5" s="1"/>
  <c r="N52" i="5"/>
  <c r="M52" i="5" s="1"/>
  <c r="N425" i="5"/>
  <c r="M425" i="5" s="1"/>
  <c r="L425" i="5" s="1"/>
  <c r="N27" i="5"/>
  <c r="M27" i="5" s="1"/>
  <c r="L27" i="5" s="1"/>
  <c r="N515" i="5"/>
  <c r="M515" i="5" s="1"/>
  <c r="N458" i="5"/>
  <c r="M458" i="5" s="1"/>
  <c r="N415" i="5"/>
  <c r="M415" i="5" s="1"/>
  <c r="N474" i="5"/>
  <c r="M474" i="5" s="1"/>
  <c r="N528" i="5"/>
  <c r="M528" i="5" s="1"/>
  <c r="N365" i="5"/>
  <c r="M365" i="5" s="1"/>
  <c r="N309" i="5"/>
  <c r="M309" i="5" s="1"/>
  <c r="N120" i="5"/>
  <c r="M120" i="5" s="1"/>
  <c r="L124" i="5" s="1"/>
  <c r="N176" i="5"/>
  <c r="M176" i="5" s="1"/>
  <c r="L174" i="5"/>
  <c r="L178" i="5"/>
  <c r="L22" i="5"/>
  <c r="L431" i="5"/>
  <c r="N206" i="5" l="1"/>
  <c r="M206" i="5" s="1"/>
  <c r="N378" i="5"/>
  <c r="M378" i="5" s="1"/>
  <c r="N175" i="5"/>
  <c r="M175" i="5" s="1"/>
  <c r="L179" i="5" s="1"/>
  <c r="L383" i="5"/>
  <c r="L546" i="5"/>
  <c r="N112" i="5"/>
  <c r="M112" i="5" s="1"/>
  <c r="N334" i="5"/>
  <c r="M334" i="5" s="1"/>
  <c r="N116" i="5"/>
  <c r="M116" i="5" s="1"/>
  <c r="N42" i="5"/>
  <c r="M42" i="5" s="1"/>
  <c r="N368" i="5"/>
  <c r="M368" i="5" s="1"/>
  <c r="N377" i="5"/>
  <c r="M377" i="5" s="1"/>
  <c r="N115" i="5"/>
  <c r="M115" i="5" s="1"/>
  <c r="L111" i="5"/>
  <c r="L319" i="5"/>
  <c r="L346" i="5"/>
  <c r="N232" i="5"/>
  <c r="M232" i="5" s="1"/>
  <c r="L232" i="5" s="1"/>
  <c r="N127" i="5"/>
  <c r="M127" i="5" s="1"/>
  <c r="L116" i="5"/>
  <c r="L42" i="5"/>
  <c r="N423" i="5"/>
  <c r="M423" i="5" s="1"/>
  <c r="L423" i="5" s="1"/>
  <c r="N171" i="5"/>
  <c r="M171" i="5" s="1"/>
  <c r="L514" i="5"/>
  <c r="L558" i="5"/>
  <c r="N536" i="5"/>
  <c r="M536" i="5" s="1"/>
  <c r="N485" i="5"/>
  <c r="M485" i="5" s="1"/>
  <c r="L26" i="5"/>
  <c r="L287" i="5"/>
  <c r="L104" i="5"/>
  <c r="N504" i="5"/>
  <c r="M504" i="5" s="1"/>
  <c r="L531" i="5"/>
  <c r="N484" i="5"/>
  <c r="M484" i="5" s="1"/>
  <c r="N557" i="5"/>
  <c r="M557" i="5" s="1"/>
  <c r="L521" i="5"/>
  <c r="L354" i="5"/>
  <c r="N132" i="5"/>
  <c r="M132" i="5" s="1"/>
  <c r="L17" i="5"/>
  <c r="L303" i="5"/>
  <c r="L285" i="5"/>
  <c r="N439" i="5"/>
  <c r="M439" i="5" s="1"/>
  <c r="L170" i="5"/>
  <c r="L387" i="5"/>
  <c r="N157" i="5"/>
  <c r="M157" i="5" s="1"/>
  <c r="L263" i="5"/>
  <c r="N273" i="5"/>
  <c r="M273" i="5" s="1"/>
  <c r="L64" i="5"/>
  <c r="N93" i="5"/>
  <c r="M93" i="5" s="1"/>
  <c r="L93" i="5" s="1"/>
  <c r="N119" i="5"/>
  <c r="M119" i="5" s="1"/>
  <c r="L150" i="5"/>
  <c r="L329" i="5"/>
  <c r="L454" i="5"/>
  <c r="L218" i="5"/>
  <c r="L189" i="5"/>
  <c r="L377" i="5"/>
  <c r="L348" i="5"/>
  <c r="L219" i="5"/>
  <c r="L74" i="5"/>
  <c r="N198" i="5"/>
  <c r="M198" i="5" s="1"/>
  <c r="N67" i="5"/>
  <c r="M67" i="5" s="1"/>
  <c r="N539" i="5"/>
  <c r="M539" i="5" s="1"/>
  <c r="N360" i="5"/>
  <c r="M360" i="5" s="1"/>
  <c r="L360" i="5" s="1"/>
  <c r="L500" i="5"/>
  <c r="L299" i="5"/>
  <c r="L72" i="5"/>
  <c r="L169" i="5"/>
  <c r="L105" i="5"/>
  <c r="L547" i="5"/>
  <c r="L415" i="5"/>
  <c r="L173" i="5"/>
  <c r="L171" i="5"/>
  <c r="L245" i="5"/>
  <c r="N235" i="5"/>
  <c r="M235" i="5" s="1"/>
  <c r="N328" i="5"/>
  <c r="M328" i="5" s="1"/>
  <c r="L328" i="5" s="1"/>
  <c r="L126" i="5"/>
  <c r="L456" i="5"/>
  <c r="L560" i="5"/>
  <c r="N130" i="5"/>
  <c r="M130" i="5" s="1"/>
  <c r="L109" i="5"/>
  <c r="L188" i="5"/>
  <c r="L461" i="5"/>
  <c r="L182" i="5"/>
  <c r="N428" i="5"/>
  <c r="M428" i="5" s="1"/>
  <c r="L428" i="5" s="1"/>
  <c r="L515" i="5"/>
  <c r="L252" i="5"/>
  <c r="L35" i="5"/>
  <c r="L358" i="5"/>
  <c r="L37" i="5"/>
  <c r="L291" i="5"/>
  <c r="N16" i="5"/>
  <c r="M16" i="5" s="1"/>
  <c r="N133" i="5"/>
  <c r="M133" i="5" s="1"/>
  <c r="L133" i="5" s="1"/>
  <c r="N253" i="5"/>
  <c r="M253" i="5" s="1"/>
  <c r="N256" i="5"/>
  <c r="M256" i="5" s="1"/>
  <c r="L260" i="5" s="1"/>
  <c r="N477" i="5"/>
  <c r="M477" i="5" s="1"/>
  <c r="L477" i="5" s="1"/>
  <c r="L405" i="5"/>
  <c r="L379" i="5"/>
  <c r="L240" i="5"/>
  <c r="L47" i="5"/>
  <c r="L382" i="5"/>
  <c r="L468" i="5"/>
  <c r="L527" i="5"/>
  <c r="L420" i="5"/>
  <c r="N310" i="5"/>
  <c r="M310" i="5" s="1"/>
  <c r="N288" i="5"/>
  <c r="M288" i="5" s="1"/>
  <c r="L292" i="5" s="1"/>
  <c r="N82" i="5"/>
  <c r="M82" i="5" s="1"/>
  <c r="L86" i="5" s="1"/>
  <c r="L475" i="5"/>
  <c r="L220" i="5"/>
  <c r="L441" i="5"/>
  <c r="L54" i="5"/>
  <c r="N161" i="5"/>
  <c r="M161" i="5" s="1"/>
  <c r="L165" i="5" s="1"/>
  <c r="N469" i="5"/>
  <c r="M469" i="5" s="1"/>
  <c r="L469" i="5" s="1"/>
  <c r="L215" i="5"/>
  <c r="N548" i="5"/>
  <c r="M548" i="5" s="1"/>
  <c r="L548" i="5" s="1"/>
  <c r="N520" i="5"/>
  <c r="M520" i="5" s="1"/>
  <c r="N516" i="5"/>
  <c r="M516" i="5" s="1"/>
  <c r="L516" i="5" s="1"/>
  <c r="L32" i="5"/>
  <c r="L504" i="5"/>
  <c r="N125" i="5"/>
  <c r="M125" i="5" s="1"/>
  <c r="N339" i="5"/>
  <c r="M339" i="5" s="1"/>
  <c r="L305" i="5"/>
  <c r="L227" i="5"/>
  <c r="N290" i="5"/>
  <c r="M290" i="5" s="1"/>
  <c r="N230" i="5"/>
  <c r="M230" i="5" s="1"/>
  <c r="L230" i="5" s="1"/>
  <c r="L417" i="5"/>
  <c r="N395" i="5"/>
  <c r="M395" i="5" s="1"/>
  <c r="L399" i="5" s="1"/>
  <c r="N265" i="5"/>
  <c r="M265" i="5" s="1"/>
  <c r="N467" i="5"/>
  <c r="M467" i="5" s="1"/>
  <c r="L317" i="5"/>
  <c r="L228" i="5"/>
  <c r="N396" i="5"/>
  <c r="M396" i="5" s="1"/>
  <c r="L396" i="5" s="1"/>
  <c r="N237" i="5"/>
  <c r="M237" i="5" s="1"/>
  <c r="L237" i="5" s="1"/>
  <c r="N144" i="5"/>
  <c r="M144" i="5" s="1"/>
  <c r="L148" i="5" s="1"/>
  <c r="L412" i="5"/>
  <c r="N478" i="5"/>
  <c r="M478" i="5" s="1"/>
  <c r="L478" i="5" s="1"/>
  <c r="L185" i="5"/>
  <c r="N312" i="5"/>
  <c r="M312" i="5" s="1"/>
  <c r="L312" i="5" s="1"/>
  <c r="N162" i="5"/>
  <c r="M162" i="5" s="1"/>
  <c r="L340" i="5"/>
  <c r="L300" i="5"/>
  <c r="L344" i="5"/>
  <c r="L53" i="5"/>
  <c r="L502" i="5"/>
  <c r="L540" i="5"/>
  <c r="L517" i="5"/>
  <c r="L537" i="5"/>
  <c r="L55" i="5"/>
  <c r="L495" i="5"/>
  <c r="L206" i="5"/>
  <c r="L559" i="5"/>
  <c r="N238" i="5"/>
  <c r="M238" i="5" s="1"/>
  <c r="L242" i="5" s="1"/>
  <c r="L338" i="5"/>
  <c r="N204" i="5"/>
  <c r="M204" i="5" s="1"/>
  <c r="L204" i="5" s="1"/>
  <c r="L46" i="5"/>
  <c r="N332" i="5"/>
  <c r="M332" i="5" s="1"/>
  <c r="L332" i="5" s="1"/>
  <c r="N466" i="5"/>
  <c r="M466" i="5" s="1"/>
  <c r="L466" i="5" s="1"/>
  <c r="N79" i="5"/>
  <c r="M79" i="5" s="1"/>
  <c r="L83" i="5" s="1"/>
  <c r="N137" i="5"/>
  <c r="M137" i="5" s="1"/>
  <c r="L141" i="5" s="1"/>
  <c r="N361" i="5"/>
  <c r="M361" i="5" s="1"/>
  <c r="L365" i="5" s="1"/>
  <c r="N498" i="5"/>
  <c r="M498" i="5" s="1"/>
  <c r="L498" i="5" s="1"/>
  <c r="L107" i="5"/>
  <c r="L416" i="5"/>
  <c r="L272" i="5"/>
  <c r="L257" i="5"/>
  <c r="L413" i="5"/>
  <c r="L138" i="5"/>
  <c r="L278" i="5"/>
  <c r="N359" i="5"/>
  <c r="M359" i="5" s="1"/>
  <c r="L359" i="5" s="1"/>
  <c r="L210" i="5"/>
  <c r="L310" i="5"/>
  <c r="L539" i="5"/>
  <c r="L307" i="5"/>
  <c r="L467" i="5"/>
  <c r="N404" i="5"/>
  <c r="M404" i="5" s="1"/>
  <c r="L408" i="5" s="1"/>
  <c r="N63" i="5"/>
  <c r="M63" i="5" s="1"/>
  <c r="L67" i="5" s="1"/>
  <c r="N294" i="5"/>
  <c r="M294" i="5" s="1"/>
  <c r="L298" i="5" s="1"/>
  <c r="N75" i="5"/>
  <c r="M75" i="5" s="1"/>
  <c r="L75" i="5" s="1"/>
  <c r="L231" i="5"/>
  <c r="L533" i="5"/>
  <c r="L512" i="5"/>
  <c r="L326" i="5"/>
  <c r="L471" i="5"/>
  <c r="L102" i="5"/>
  <c r="N40" i="5"/>
  <c r="M40" i="5" s="1"/>
  <c r="L44" i="5" s="1"/>
  <c r="L368" i="5"/>
  <c r="L156" i="5"/>
  <c r="L248" i="5"/>
  <c r="L52" i="5"/>
  <c r="L187" i="5"/>
  <c r="L281" i="5"/>
  <c r="L474" i="5"/>
  <c r="L482" i="5"/>
  <c r="L203" i="5"/>
  <c r="L434" i="5"/>
  <c r="L114" i="5"/>
  <c r="L222" i="5"/>
  <c r="L30" i="5"/>
  <c r="L279" i="5"/>
  <c r="L175" i="5"/>
  <c r="L84" i="5"/>
  <c r="N353" i="5"/>
  <c r="M353" i="5" s="1"/>
  <c r="L353" i="5" s="1"/>
  <c r="L186" i="5"/>
  <c r="L106" i="5"/>
  <c r="L506" i="5"/>
  <c r="L94" i="5"/>
  <c r="L556" i="5"/>
  <c r="L519" i="5"/>
  <c r="L330" i="5"/>
  <c r="L254" i="5"/>
  <c r="L534" i="5"/>
  <c r="L523" i="5"/>
  <c r="L321" i="5"/>
  <c r="L507" i="5"/>
  <c r="L443" i="5"/>
  <c r="L543" i="5"/>
  <c r="L542" i="5"/>
  <c r="L391" i="5"/>
  <c r="L142" i="5"/>
  <c r="L51" i="5"/>
  <c r="L313" i="5"/>
  <c r="L288" i="5"/>
  <c r="L267" i="5"/>
  <c r="L283" i="5"/>
  <c r="L293" i="5"/>
  <c r="L375" i="5"/>
  <c r="L418" i="5"/>
  <c r="L530" i="5"/>
  <c r="L447" i="5"/>
  <c r="L445" i="5"/>
  <c r="L160" i="5"/>
  <c r="L526" i="5"/>
  <c r="L342" i="5"/>
  <c r="L176" i="5"/>
  <c r="L337" i="5"/>
  <c r="L164" i="5"/>
  <c r="L505" i="5"/>
  <c r="L259" i="5"/>
  <c r="L496" i="5"/>
  <c r="L479" i="5"/>
  <c r="L385" i="5"/>
  <c r="L123" i="5"/>
  <c r="L275" i="5"/>
  <c r="L336" i="5"/>
  <c r="L197" i="5"/>
  <c r="L424" i="5"/>
  <c r="L513" i="5"/>
  <c r="L117" i="5"/>
  <c r="L455" i="5"/>
  <c r="L95" i="5"/>
  <c r="L58" i="5"/>
  <c r="L446" i="5"/>
  <c r="L130" i="5"/>
  <c r="L162" i="5"/>
  <c r="L159" i="5"/>
  <c r="L459" i="5"/>
  <c r="L146" i="5"/>
  <c r="L378" i="5"/>
  <c r="L73" i="5"/>
  <c r="L324" i="5"/>
  <c r="L71" i="5"/>
  <c r="L216" i="5"/>
  <c r="L21" i="5"/>
  <c r="L268" i="5"/>
  <c r="L465" i="5"/>
  <c r="L463" i="5"/>
  <c r="L522" i="5"/>
  <c r="L282" i="5"/>
  <c r="L351" i="5"/>
  <c r="L536" i="5"/>
  <c r="L65" i="5"/>
  <c r="L163" i="5"/>
  <c r="L395" i="5"/>
  <c r="L258" i="5"/>
  <c r="L532" i="5"/>
  <c r="L422" i="5"/>
  <c r="L269" i="5"/>
  <c r="L347" i="5"/>
  <c r="L373" i="5"/>
  <c r="L23" i="5"/>
  <c r="L541" i="5"/>
  <c r="L367" i="5"/>
  <c r="L226" i="5"/>
  <c r="L306" i="5"/>
  <c r="L247" i="5"/>
  <c r="L380" i="5"/>
  <c r="L501" i="5"/>
  <c r="L239" i="5"/>
  <c r="L100" i="5"/>
  <c r="L450" i="5"/>
  <c r="L180" i="5"/>
  <c r="L97" i="5"/>
  <c r="L369" i="5"/>
  <c r="L92" i="5"/>
  <c r="L314" i="5"/>
  <c r="L318" i="5"/>
  <c r="L485" i="5"/>
  <c r="L255" i="5"/>
  <c r="L24" i="5"/>
  <c r="L538" i="5"/>
  <c r="L98" i="5"/>
  <c r="L484" i="5"/>
  <c r="L411" i="5"/>
  <c r="L212" i="5"/>
  <c r="L33" i="5"/>
  <c r="L315" i="5"/>
  <c r="L262" i="5"/>
  <c r="L76" i="5"/>
  <c r="L276" i="5"/>
  <c r="L323" i="5"/>
  <c r="L356" i="5"/>
  <c r="L152" i="5"/>
  <c r="L489" i="5"/>
  <c r="L211" i="5"/>
  <c r="L490" i="5"/>
  <c r="L207" i="5"/>
  <c r="L166" i="5"/>
  <c r="L295" i="5"/>
  <c r="L362" i="5"/>
  <c r="L552" i="5"/>
  <c r="L436" i="5"/>
  <c r="L29" i="5"/>
  <c r="L444" i="5"/>
  <c r="L494" i="5"/>
  <c r="L419" i="5"/>
  <c r="L136" i="5"/>
  <c r="L327" i="5"/>
  <c r="L91" i="5"/>
  <c r="L213" i="5"/>
  <c r="L545" i="5"/>
  <c r="L345" i="5"/>
  <c r="L400" i="5"/>
  <c r="L190" i="5"/>
  <c r="L397" i="5"/>
  <c r="L401" i="5"/>
  <c r="L113" i="5"/>
  <c r="L69" i="5"/>
  <c r="L433" i="5"/>
  <c r="L509" i="5"/>
  <c r="L198" i="5"/>
  <c r="L481" i="5"/>
  <c r="L201" i="5"/>
  <c r="L452" i="5"/>
  <c r="L297" i="5"/>
  <c r="L271" i="5"/>
  <c r="L157" i="5"/>
  <c r="L132" i="5"/>
  <c r="L121" i="5"/>
  <c r="L149" i="5"/>
  <c r="L503" i="5"/>
  <c r="L214" i="5"/>
  <c r="L39" i="5"/>
  <c r="L122" i="5"/>
  <c r="L491" i="5"/>
  <c r="L155" i="5"/>
  <c r="L381" i="5"/>
  <c r="L374" i="5"/>
  <c r="L251" i="5"/>
  <c r="L77" i="5"/>
  <c r="L372" i="5"/>
  <c r="L31" i="5"/>
  <c r="L409" i="5"/>
  <c r="L108" i="5"/>
  <c r="L112" i="5"/>
  <c r="L476" i="5"/>
  <c r="L60" i="5"/>
  <c r="L192" i="5"/>
  <c r="L302" i="5"/>
  <c r="L333" i="5"/>
  <c r="L135" i="5"/>
  <c r="L486" i="5"/>
  <c r="L127" i="5"/>
  <c r="L184" i="5"/>
  <c r="L355" i="5"/>
  <c r="L429" i="5"/>
  <c r="L393" i="5"/>
  <c r="L256" i="5"/>
  <c r="L96" i="5"/>
  <c r="L449" i="5"/>
  <c r="L289" i="5"/>
  <c r="L167" i="5"/>
  <c r="L438" i="5"/>
  <c r="L453" i="5"/>
  <c r="L119" i="5"/>
  <c r="L236" i="5"/>
  <c r="L561" i="5"/>
  <c r="L349" i="5"/>
  <c r="L334" i="5"/>
  <c r="L28" i="5"/>
  <c r="L80" i="5"/>
  <c r="L224" i="5"/>
  <c r="L38" i="5"/>
  <c r="L34" i="5"/>
  <c r="L414" i="5"/>
  <c r="L410" i="5"/>
  <c r="L57" i="5"/>
  <c r="L61" i="5"/>
  <c r="L50" i="5"/>
  <c r="L103" i="5"/>
  <c r="L99" i="5"/>
  <c r="L458" i="5"/>
  <c r="L462" i="5"/>
  <c r="L557" i="5"/>
  <c r="L225" i="5"/>
  <c r="L172" i="5"/>
  <c r="L168" i="5"/>
  <c r="L208" i="5"/>
  <c r="L68" i="5"/>
  <c r="L296" i="5"/>
  <c r="L525" i="5"/>
  <c r="L529" i="5"/>
  <c r="L36" i="5"/>
  <c r="L235" i="5"/>
  <c r="L202" i="5"/>
  <c r="L70" i="5"/>
  <c r="L125" i="5"/>
  <c r="L129" i="5"/>
  <c r="L191" i="5"/>
  <c r="L457" i="5"/>
  <c r="L246" i="5"/>
  <c r="L151" i="5"/>
  <c r="L440" i="5"/>
  <c r="L402" i="5"/>
  <c r="L56" i="5"/>
  <c r="L497" i="5"/>
  <c r="L386" i="5"/>
  <c r="L451" i="5"/>
  <c r="L510" i="5"/>
  <c r="L158" i="5"/>
  <c r="L284" i="5"/>
  <c r="L554" i="5"/>
  <c r="L238" i="5"/>
  <c r="L59" i="5"/>
  <c r="L286" i="5"/>
  <c r="L290" i="5"/>
  <c r="L90" i="5"/>
  <c r="L223" i="5"/>
  <c r="L549" i="5"/>
  <c r="L553" i="5"/>
  <c r="L524" i="5"/>
  <c r="L544" i="5"/>
  <c r="L140" i="5"/>
  <c r="L144" i="5"/>
  <c r="L43" i="5"/>
  <c r="L139" i="5"/>
  <c r="L143" i="5"/>
  <c r="L85" i="5"/>
  <c r="L335" i="5"/>
  <c r="L406" i="5"/>
  <c r="L81" i="5"/>
  <c r="L110" i="5"/>
  <c r="L448" i="5"/>
  <c r="L376" i="5"/>
  <c r="L427" i="5"/>
  <c r="L518" i="5"/>
  <c r="L87" i="5"/>
  <c r="L120" i="5"/>
  <c r="L309" i="5"/>
  <c r="L535" i="5"/>
  <c r="L115" i="5"/>
  <c r="L25" i="5"/>
  <c r="L196" i="5"/>
  <c r="L101" i="5"/>
  <c r="L442" i="5"/>
  <c r="L62" i="5"/>
  <c r="L407" i="5"/>
  <c r="L511" i="5"/>
  <c r="L528" i="5"/>
  <c r="L45" i="5"/>
  <c r="L49" i="5"/>
  <c r="L388" i="5"/>
  <c r="L384" i="5"/>
  <c r="L488" i="5"/>
  <c r="L134" i="5"/>
  <c r="L277" i="5"/>
  <c r="L273" i="5"/>
  <c r="L435" i="5"/>
  <c r="L439" i="5"/>
  <c r="L199" i="5"/>
  <c r="L266" i="5"/>
  <c r="L361" i="5"/>
  <c r="L221" i="5"/>
  <c r="L350" i="5"/>
  <c r="L250" i="5"/>
  <c r="L341" i="5"/>
  <c r="L370" i="5"/>
  <c r="L325" i="5"/>
  <c r="L464" i="5"/>
  <c r="L460" i="5"/>
  <c r="L253" i="5"/>
  <c r="L229" i="5"/>
  <c r="L233" i="5"/>
  <c r="L177" i="5"/>
  <c r="L181" i="5"/>
  <c r="L492" i="5"/>
  <c r="L200" i="5"/>
  <c r="L131" i="5"/>
  <c r="L270" i="5"/>
  <c r="L274" i="5"/>
  <c r="L308" i="5"/>
  <c r="L304" i="5"/>
  <c r="L390" i="5"/>
  <c r="L394" i="5"/>
  <c r="L265" i="5"/>
  <c r="L426" i="5"/>
  <c r="L430" i="5"/>
  <c r="L78" i="5"/>
  <c r="L82" i="5"/>
  <c r="L118" i="5"/>
  <c r="L508" i="5"/>
  <c r="L320" i="5"/>
  <c r="L154" i="5"/>
  <c r="L371" i="5"/>
  <c r="L520" i="5" l="1"/>
  <c r="L234" i="5"/>
  <c r="L364" i="5"/>
  <c r="L432" i="5"/>
  <c r="L404" i="5"/>
  <c r="L339" i="5"/>
  <c r="L343" i="5"/>
  <c r="L241" i="5"/>
  <c r="L316" i="5"/>
  <c r="L357" i="5"/>
  <c r="L137" i="5"/>
  <c r="L473" i="5"/>
  <c r="L161" i="5"/>
  <c r="L363" i="5"/>
  <c r="L470" i="5"/>
  <c r="L294" i="5"/>
  <c r="L63" i="5"/>
  <c r="L40" i="5"/>
  <c r="L79" i="5"/>
  <c r="L20" i="5"/>
  <c r="L16" i="5"/>
  <c r="C9" i="7" l="1"/>
  <c r="G9" i="7" l="1"/>
  <c r="F9" i="7"/>
  <c r="D9" i="7"/>
  <c r="I9" i="7"/>
  <c r="E9" i="7"/>
  <c r="H9" i="7"/>
  <c r="B9" i="7"/>
  <c r="B10" i="7" l="1"/>
  <c r="C10" i="7"/>
  <c r="I10" i="7"/>
  <c r="H10" i="7"/>
  <c r="E10" i="7"/>
  <c r="D10" i="7"/>
  <c r="F10" i="7"/>
  <c r="G10" i="7"/>
  <c r="D11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<sst xmlns="http://schemas.openxmlformats.org/spreadsheetml/2006/main" count="86" uniqueCount="53">
  <si>
    <t>classificação</t>
  </si>
  <si>
    <t>E</t>
  </si>
  <si>
    <t>U</t>
  </si>
  <si>
    <t>NQ</t>
  </si>
  <si>
    <t>NU</t>
  </si>
  <si>
    <t>input</t>
  </si>
  <si>
    <t>Output</t>
  </si>
  <si>
    <t>2.1</t>
  </si>
  <si>
    <t>2.2</t>
  </si>
  <si>
    <t>2.3</t>
  </si>
  <si>
    <t>2.4</t>
  </si>
  <si>
    <t>distribuições</t>
  </si>
  <si>
    <t>Estatisticas OUTPUT</t>
  </si>
  <si>
    <t>Estatisticas DATASET (RANDOM)</t>
  </si>
  <si>
    <t>Info sobre parametros</t>
  </si>
  <si>
    <t>Classificação da Recomendação (1- Não recomendado; 2- Angio TC; 3- TAC)</t>
  </si>
  <si>
    <t>SCORE</t>
  </si>
  <si>
    <t>Idade do paciente</t>
  </si>
  <si>
    <t>Desconforto opresivo/constritivo na face anterior do tórax ou no pescoço, mandíbula, ombro ou braço (0 - N / 1 - S)</t>
  </si>
  <si>
    <t>Desencadeada pelo exercício físico  (0 - N / 1 - S)</t>
  </si>
  <si>
    <t>Aliviada pelo repouso ou nitratos em 5 minutos  (0 - N / 1 - S)</t>
  </si>
  <si>
    <t>Falta de ar (0 - N / 1 - S)</t>
  </si>
  <si>
    <t>Hipertenso (0 - N / 1 - S)</t>
  </si>
  <si>
    <t>Fumador (0 - N / 1 - S)</t>
  </si>
  <si>
    <t>IDADE</t>
  </si>
  <si>
    <t>GENERO</t>
  </si>
  <si>
    <t>DORPEITO1</t>
  </si>
  <si>
    <t>DORPEITO2</t>
  </si>
  <si>
    <t>DORPEITO3</t>
  </si>
  <si>
    <t>DISPNEIA</t>
  </si>
  <si>
    <t>HIPERTENSO</t>
  </si>
  <si>
    <t>FUMADOR</t>
  </si>
  <si>
    <t>COLESTEROL</t>
  </si>
  <si>
    <t>CLASSIFICACAO</t>
  </si>
  <si>
    <t>angina tipica</t>
  </si>
  <si>
    <t>angina atipica</t>
  </si>
  <si>
    <t>PTT</t>
  </si>
  <si>
    <t>Z</t>
  </si>
  <si>
    <t>Dor torácica não anginosa</t>
  </si>
  <si>
    <t>ASSINTOMATICO</t>
  </si>
  <si>
    <t>score</t>
  </si>
  <si>
    <t>sintomas</t>
  </si>
  <si>
    <t>ptt min</t>
  </si>
  <si>
    <t>ptt max</t>
  </si>
  <si>
    <t>PRESSAO_ARTERIAL</t>
  </si>
  <si>
    <t>SINTOMAS</t>
  </si>
  <si>
    <t>AGE</t>
  </si>
  <si>
    <t>SEX</t>
  </si>
  <si>
    <t>presSAO</t>
  </si>
  <si>
    <t>FUMAR</t>
  </si>
  <si>
    <t>genero do paciente (1 - Masculino / 0 - Feminino )</t>
  </si>
  <si>
    <t>Pressão arterial mmHg (valor contínuo aprox. [8 .. 21] )</t>
  </si>
  <si>
    <t xml:space="preserve">Colesterol (mg/dL) - valor de referência &lt;190 mg/dL (valor contínuo aprox. [160 .. 260])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</si>
</sst>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5" borderId="0" xfId="0" applyFont="1" applyFill="1"/>
    <xf numFmtId="0" fontId="0" fillId="7" borderId="0" xfId="0" applyFill="1"/>
    <xf numFmtId="9" fontId="0" fillId="4" borderId="0" xfId="1" applyFont="1" applyFill="1"/>
    <xf numFmtId="9" fontId="0" fillId="4" borderId="0" xfId="0" applyNumberFormat="1" applyFill="1"/>
    <xf numFmtId="9" fontId="0" fillId="6" borderId="0" xfId="1" applyFont="1" applyFill="1"/>
    <xf numFmtId="0" fontId="3" fillId="0" borderId="1" xfId="2"/>
    <xf numFmtId="0" fontId="1" fillId="0" borderId="2" xfId="0" applyFont="1" applyBorder="1"/>
    <xf numFmtId="0" fontId="0" fillId="0" borderId="2" xfId="0" applyBorder="1"/>
    <xf numFmtId="164" fontId="0" fillId="0" borderId="0" xfId="1" applyNumberFormat="1" applyFont="1" applyFill="1"/>
    <xf numFmtId="164" fontId="1" fillId="0" borderId="0" xfId="1" applyNumberFormat="1" applyFont="1" applyFill="1"/>
    <xf numFmtId="0" fontId="1" fillId="0" borderId="0" xfId="0" applyFont="1"/>
    <xf numFmtId="0" fontId="0" fillId="0" borderId="0" xfId="1" applyNumberFormat="1" applyFont="1" applyFill="1"/>
    <xf numFmtId="165" fontId="0" fillId="0" borderId="0" xfId="0" applyNumberFormat="1"/>
    <xf numFmtId="0" fontId="1" fillId="0" borderId="2" xfId="0" applyFont="1" applyBorder="1" applyAlignment="1">
      <alignment horizontal="center" vertical="center" textRotation="9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abeçalho 1" xfId="2" builtinId="16"/>
    <cellStyle name="Normal" xfId="0" builtinId="0"/>
    <cellStyle name="Percentagem" xfId="1" builtinId="5"/>
  </cellStyles>
  <dxfs count="0"/>
  <tableStyles count="0" defaultTableStyle="TableStyleMedium2" defaultPivotStyle="PivotStyleLight16"/>
  <colors>
    <mruColors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/>
    <cx:plotArea>
      <cx:plotAreaRegion>
        <cx:series layoutId="clusteredColumn" uniqueId="{407B9A4C-DC53-4A82-999D-7C66640B515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Genero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Genero</a:t>
          </a:r>
        </a:p>
      </cx:txPr>
    </cx:title>
    <cx:plotArea>
      <cx:plotAreaRegion>
        <cx:series layoutId="clusteredColumn" uniqueId="{FF968C2B-DAD2-45CB-A793-F9A9D2D9998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Pressao arterial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Pressao arterial</a:t>
          </a:r>
        </a:p>
      </cx:txPr>
    </cx:title>
    <cx:plotArea>
      <cx:plotAreaRegion>
        <cx:series layoutId="clusteredColumn" uniqueId="{41B45D15-F6DE-4F36-B2BF-81EB0F2F8BA0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Classificação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Classificação</a:t>
          </a:r>
        </a:p>
      </cx:txPr>
    </cx:title>
    <cx:plotArea>
      <cx:plotAreaRegion>
        <cx:series layoutId="clusteredColumn" uniqueId="{6704C6DC-1E23-4489-B55E-996FD2F8E268}">
          <cx:tx>
            <cx:txData>
              <cx:f>_xlchart.v1.2</cx:f>
              <cx:v>classificação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Colesterol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Colesterol</a:t>
          </a:r>
        </a:p>
      </cx:txPr>
    </cx:title>
    <cx:plotArea>
      <cx:plotAreaRegion>
        <cx:series layoutId="clusteredColumn" uniqueId="{DB4CAF45-B702-4E7B-96E4-DDA4640ACA6A}">
          <cx:tx>
            <cx:txData>
              <cx:f>_xlchart.v1.5</cx:f>
              <cx:v>COLESTEROL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22860</xdr:rowOff>
        </xdr:from>
        <xdr:to>
          <xdr:col>2</xdr:col>
          <xdr:colOff>5029200</xdr:colOff>
          <xdr:row>17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Ficheiro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270510</xdr:colOff>
      <xdr:row>13</xdr:row>
      <xdr:rowOff>38100</xdr:rowOff>
    </xdr:from>
    <xdr:to>
      <xdr:col>8</xdr:col>
      <xdr:colOff>361950</xdr:colOff>
      <xdr:row>28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" y="2415540"/>
              <a:ext cx="4358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Este gráfico não está disponível na sua versão do Excel.
Editar esta forma ou guardar este livro num formato de ficheiro diferente irá indisponibilizar o gráfico de forma permanente.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13</xdr:row>
      <xdr:rowOff>0</xdr:rowOff>
    </xdr:from>
    <xdr:to>
      <xdr:col>16</xdr:col>
      <xdr:colOff>91440</xdr:colOff>
      <xdr:row>28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86400" y="2377440"/>
              <a:ext cx="4358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Este gráfico não está disponível na sua versão do Excel.
Editar esta forma ou guardar este livro num formato de ficheiro diferente irá indisponibilizar o gráfico de forma permanente.</a:t>
              </a:r>
            </a:p>
          </xdr:txBody>
        </xdr:sp>
      </mc:Fallback>
    </mc:AlternateContent>
    <xdr:clientData/>
  </xdr:twoCellAnchor>
  <xdr:twoCellAnchor>
    <xdr:from>
      <xdr:col>16</xdr:col>
      <xdr:colOff>76200</xdr:colOff>
      <xdr:row>12</xdr:row>
      <xdr:rowOff>137160</xdr:rowOff>
    </xdr:from>
    <xdr:to>
      <xdr:col>23</xdr:col>
      <xdr:colOff>167640</xdr:colOff>
      <xdr:row>27</xdr:row>
      <xdr:rowOff>137160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29800" y="2331720"/>
              <a:ext cx="4358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Este gráfico não está disponível na sua versão do Excel.
Editar esta forma ou guardar este livro num formato de ficheiro diferente irá indisponibilizar o gráfico de forma permanente.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31</xdr:row>
      <xdr:rowOff>0</xdr:rowOff>
    </xdr:from>
    <xdr:to>
      <xdr:col>9</xdr:col>
      <xdr:colOff>91440</xdr:colOff>
      <xdr:row>46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200" y="5669280"/>
              <a:ext cx="4358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Este gráfico não está disponível na sua versão do Excel.
Editar esta forma ou guardar este livro num formato de ficheiro diferente irá indisponibilizar o gráfico de forma permanente.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31</xdr:row>
      <xdr:rowOff>0</xdr:rowOff>
    </xdr:from>
    <xdr:to>
      <xdr:col>16</xdr:col>
      <xdr:colOff>91440</xdr:colOff>
      <xdr:row>46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86400" y="5669280"/>
              <a:ext cx="4358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Este gráfico não está disponível na sua versão do Excel.
Editar esta forma ou guardar este livro num formato de ficheiro diferente irá indisponibilizar o gráfico de forma permanente.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DB1CA-A8EC-4BC4-9939-310CEE7792CF}">
  <sheetPr codeName="Sheet1"/>
  <dimension ref="A1:K547"/>
  <sheetViews>
    <sheetView workbookViewId="0">
      <selection sqref="A1:K547"/>
    </sheetView>
  </sheetViews>
  <sheetFormatPr defaultRowHeight="14.4" x14ac:dyDescent="0.3"/>
  <sheetData>
    <row r="1" spans="1:11" x14ac:dyDescent="0.3">
      <c r="A1" s="11" t="s">
        <v>24</v>
      </c>
      <c r="B1" s="11" t="s">
        <v>25</v>
      </c>
      <c r="C1" s="11" t="s">
        <v>26</v>
      </c>
      <c r="D1" s="11" t="s">
        <v>27</v>
      </c>
      <c r="E1" s="11" t="s">
        <v>28</v>
      </c>
      <c r="F1" s="11" t="s">
        <v>29</v>
      </c>
      <c r="G1" s="11" t="s">
        <v>30</v>
      </c>
      <c r="H1" s="11" t="s">
        <v>31</v>
      </c>
      <c r="I1" s="11" t="s">
        <v>44</v>
      </c>
      <c r="J1" s="11" t="s">
        <v>32</v>
      </c>
      <c r="K1" s="11" t="s">
        <v>33</v>
      </c>
    </row>
    <row r="2" spans="1:11" x14ac:dyDescent="0.3">
      <c r="A2">
        <v>63</v>
      </c>
      <c r="B2">
        <v>1</v>
      </c>
      <c r="C2">
        <v>1</v>
      </c>
      <c r="D2">
        <v>1</v>
      </c>
      <c r="E2">
        <v>1</v>
      </c>
      <c r="F2">
        <v>0</v>
      </c>
      <c r="G2">
        <v>0</v>
      </c>
      <c r="H2">
        <v>1</v>
      </c>
      <c r="I2">
        <v>15</v>
      </c>
      <c r="J2">
        <v>220</v>
      </c>
      <c r="K2">
        <v>3</v>
      </c>
    </row>
    <row r="3" spans="1:11" x14ac:dyDescent="0.3">
      <c r="A3">
        <v>57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13</v>
      </c>
      <c r="J3">
        <v>214</v>
      </c>
      <c r="K3">
        <v>3</v>
      </c>
    </row>
    <row r="4" spans="1:11" x14ac:dyDescent="0.3">
      <c r="A4">
        <v>65</v>
      </c>
      <c r="B4">
        <v>1</v>
      </c>
      <c r="C4">
        <v>0</v>
      </c>
      <c r="D4">
        <v>0</v>
      </c>
      <c r="E4">
        <v>1</v>
      </c>
      <c r="F4">
        <v>1</v>
      </c>
      <c r="G4">
        <v>0</v>
      </c>
      <c r="H4">
        <v>1</v>
      </c>
      <c r="I4">
        <v>9</v>
      </c>
      <c r="J4">
        <v>226</v>
      </c>
      <c r="K4">
        <v>3</v>
      </c>
    </row>
    <row r="5" spans="1:11" x14ac:dyDescent="0.3">
      <c r="A5">
        <v>59</v>
      </c>
      <c r="B5">
        <v>0</v>
      </c>
      <c r="C5">
        <v>0</v>
      </c>
      <c r="D5">
        <v>1</v>
      </c>
      <c r="E5">
        <v>0</v>
      </c>
      <c r="F5">
        <v>0</v>
      </c>
      <c r="G5">
        <v>1</v>
      </c>
      <c r="H5">
        <v>0</v>
      </c>
      <c r="I5">
        <v>18</v>
      </c>
      <c r="J5">
        <v>164</v>
      </c>
      <c r="K5">
        <v>1</v>
      </c>
    </row>
    <row r="6" spans="1:11" x14ac:dyDescent="0.3">
      <c r="A6">
        <v>63</v>
      </c>
      <c r="B6">
        <v>1</v>
      </c>
      <c r="C6">
        <v>0</v>
      </c>
      <c r="D6">
        <v>1</v>
      </c>
      <c r="E6">
        <v>0</v>
      </c>
      <c r="F6">
        <v>0</v>
      </c>
      <c r="G6">
        <v>0</v>
      </c>
      <c r="H6">
        <v>1</v>
      </c>
      <c r="I6">
        <v>15</v>
      </c>
      <c r="J6">
        <v>201</v>
      </c>
      <c r="K6">
        <v>2</v>
      </c>
    </row>
    <row r="7" spans="1:11" x14ac:dyDescent="0.3">
      <c r="A7">
        <v>27</v>
      </c>
      <c r="B7">
        <v>0</v>
      </c>
      <c r="C7">
        <v>0</v>
      </c>
      <c r="D7">
        <v>1</v>
      </c>
      <c r="E7">
        <v>0</v>
      </c>
      <c r="F7">
        <v>1</v>
      </c>
      <c r="G7">
        <v>0</v>
      </c>
      <c r="H7">
        <v>1</v>
      </c>
      <c r="I7">
        <v>15</v>
      </c>
      <c r="J7">
        <v>195</v>
      </c>
      <c r="K7">
        <v>1</v>
      </c>
    </row>
    <row r="8" spans="1:11" x14ac:dyDescent="0.3">
      <c r="A8">
        <v>50</v>
      </c>
      <c r="B8">
        <v>0</v>
      </c>
      <c r="C8">
        <v>1</v>
      </c>
      <c r="D8">
        <v>1</v>
      </c>
      <c r="E8">
        <v>1</v>
      </c>
      <c r="F8">
        <v>0</v>
      </c>
      <c r="G8">
        <v>1</v>
      </c>
      <c r="H8">
        <v>1</v>
      </c>
      <c r="I8">
        <v>15</v>
      </c>
      <c r="J8">
        <v>219</v>
      </c>
      <c r="K8">
        <v>2</v>
      </c>
    </row>
    <row r="9" spans="1:11" x14ac:dyDescent="0.3">
      <c r="A9">
        <v>26</v>
      </c>
      <c r="B9">
        <v>0</v>
      </c>
      <c r="C9">
        <v>1</v>
      </c>
      <c r="D9">
        <v>1</v>
      </c>
      <c r="E9">
        <v>1</v>
      </c>
      <c r="F9">
        <v>0</v>
      </c>
      <c r="G9">
        <v>0</v>
      </c>
      <c r="H9">
        <v>0</v>
      </c>
      <c r="I9">
        <v>13</v>
      </c>
      <c r="J9">
        <v>224</v>
      </c>
      <c r="K9">
        <v>1</v>
      </c>
    </row>
    <row r="10" spans="1:11" x14ac:dyDescent="0.3">
      <c r="A10">
        <v>39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14</v>
      </c>
      <c r="J10">
        <v>212</v>
      </c>
      <c r="K10">
        <v>3</v>
      </c>
    </row>
    <row r="11" spans="1:11" x14ac:dyDescent="0.3">
      <c r="A11">
        <v>54</v>
      </c>
      <c r="B11">
        <v>0</v>
      </c>
      <c r="C11">
        <v>1</v>
      </c>
      <c r="D11">
        <v>1</v>
      </c>
      <c r="E11">
        <v>1</v>
      </c>
      <c r="F11">
        <v>0</v>
      </c>
      <c r="G11">
        <v>0</v>
      </c>
      <c r="H11">
        <v>1</v>
      </c>
      <c r="I11">
        <v>9</v>
      </c>
      <c r="J11">
        <v>220</v>
      </c>
      <c r="K11">
        <v>3</v>
      </c>
    </row>
    <row r="12" spans="1:11" x14ac:dyDescent="0.3">
      <c r="A12">
        <v>41</v>
      </c>
      <c r="B12">
        <v>1</v>
      </c>
      <c r="C12">
        <v>0</v>
      </c>
      <c r="D12">
        <v>0</v>
      </c>
      <c r="E12">
        <v>1</v>
      </c>
      <c r="F12">
        <v>0</v>
      </c>
      <c r="G12">
        <v>1</v>
      </c>
      <c r="H12">
        <v>1</v>
      </c>
      <c r="I12">
        <v>13</v>
      </c>
      <c r="J12">
        <v>218</v>
      </c>
      <c r="K12">
        <v>3</v>
      </c>
    </row>
    <row r="13" spans="1:11" x14ac:dyDescent="0.3">
      <c r="A13">
        <v>52</v>
      </c>
      <c r="B13">
        <v>0</v>
      </c>
      <c r="C13">
        <v>1</v>
      </c>
      <c r="D13">
        <v>1</v>
      </c>
      <c r="E13">
        <v>0</v>
      </c>
      <c r="F13">
        <v>1</v>
      </c>
      <c r="G13">
        <v>0</v>
      </c>
      <c r="H13">
        <v>1</v>
      </c>
      <c r="I13">
        <v>18</v>
      </c>
      <c r="J13">
        <v>213</v>
      </c>
      <c r="K13">
        <v>3</v>
      </c>
    </row>
    <row r="14" spans="1:11" x14ac:dyDescent="0.3">
      <c r="A14">
        <v>48</v>
      </c>
      <c r="B14">
        <v>0</v>
      </c>
      <c r="C14">
        <v>0</v>
      </c>
      <c r="D14">
        <v>0</v>
      </c>
      <c r="E14">
        <v>1</v>
      </c>
      <c r="F14">
        <v>0</v>
      </c>
      <c r="G14">
        <v>1</v>
      </c>
      <c r="H14">
        <v>1</v>
      </c>
      <c r="I14">
        <v>11</v>
      </c>
      <c r="J14">
        <v>282</v>
      </c>
      <c r="K14">
        <v>1</v>
      </c>
    </row>
    <row r="15" spans="1:11" x14ac:dyDescent="0.3">
      <c r="A15">
        <v>48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7</v>
      </c>
      <c r="J15">
        <v>229</v>
      </c>
      <c r="K15">
        <v>1</v>
      </c>
    </row>
    <row r="16" spans="1:11" x14ac:dyDescent="0.3">
      <c r="A16">
        <v>46</v>
      </c>
      <c r="B16">
        <v>1</v>
      </c>
      <c r="C16">
        <v>1</v>
      </c>
      <c r="D16">
        <v>0</v>
      </c>
      <c r="E16">
        <v>0</v>
      </c>
      <c r="F16">
        <v>1</v>
      </c>
      <c r="G16">
        <v>0</v>
      </c>
      <c r="H16">
        <v>0</v>
      </c>
      <c r="I16">
        <v>14</v>
      </c>
      <c r="J16">
        <v>207</v>
      </c>
      <c r="K16">
        <v>3</v>
      </c>
    </row>
    <row r="17" spans="1:11" x14ac:dyDescent="0.3">
      <c r="A17">
        <v>52</v>
      </c>
      <c r="B17">
        <v>0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>
        <v>15</v>
      </c>
      <c r="J17">
        <v>217</v>
      </c>
      <c r="K17">
        <v>1</v>
      </c>
    </row>
    <row r="18" spans="1:11" x14ac:dyDescent="0.3">
      <c r="A18">
        <v>50</v>
      </c>
      <c r="B18">
        <v>1</v>
      </c>
      <c r="C18">
        <v>1</v>
      </c>
      <c r="D18">
        <v>0</v>
      </c>
      <c r="E18">
        <v>0</v>
      </c>
      <c r="F18">
        <v>1</v>
      </c>
      <c r="G18">
        <v>0</v>
      </c>
      <c r="H18">
        <v>1</v>
      </c>
      <c r="I18">
        <v>20</v>
      </c>
      <c r="J18">
        <v>247</v>
      </c>
      <c r="K18">
        <v>3</v>
      </c>
    </row>
    <row r="19" spans="1:11" x14ac:dyDescent="0.3">
      <c r="A19">
        <v>44</v>
      </c>
      <c r="B19">
        <v>0</v>
      </c>
      <c r="C19">
        <v>0</v>
      </c>
      <c r="D19">
        <v>1</v>
      </c>
      <c r="E19">
        <v>1</v>
      </c>
      <c r="F19">
        <v>1</v>
      </c>
      <c r="G19">
        <v>0</v>
      </c>
      <c r="H19">
        <v>0</v>
      </c>
      <c r="I19">
        <v>19</v>
      </c>
      <c r="J19">
        <v>228</v>
      </c>
      <c r="K19">
        <v>3</v>
      </c>
    </row>
    <row r="20" spans="1:11" x14ac:dyDescent="0.3">
      <c r="A20">
        <v>54</v>
      </c>
      <c r="B20">
        <v>1</v>
      </c>
      <c r="C20">
        <v>1</v>
      </c>
      <c r="D20">
        <v>0</v>
      </c>
      <c r="E20">
        <v>1</v>
      </c>
      <c r="F20">
        <v>0</v>
      </c>
      <c r="G20">
        <v>1</v>
      </c>
      <c r="H20">
        <v>1</v>
      </c>
      <c r="I20">
        <v>18</v>
      </c>
      <c r="J20">
        <v>208</v>
      </c>
      <c r="K20">
        <v>3</v>
      </c>
    </row>
    <row r="21" spans="1:11" x14ac:dyDescent="0.3">
      <c r="A21">
        <v>43</v>
      </c>
      <c r="B21">
        <v>1</v>
      </c>
      <c r="C21">
        <v>0</v>
      </c>
      <c r="D21">
        <v>1</v>
      </c>
      <c r="E21">
        <v>1</v>
      </c>
      <c r="F21">
        <v>0</v>
      </c>
      <c r="G21">
        <v>0</v>
      </c>
      <c r="H21">
        <v>0</v>
      </c>
      <c r="I21">
        <v>9</v>
      </c>
      <c r="J21">
        <v>192</v>
      </c>
      <c r="K21">
        <v>3</v>
      </c>
    </row>
    <row r="22" spans="1:11" x14ac:dyDescent="0.3">
      <c r="A22">
        <v>39</v>
      </c>
      <c r="B22">
        <v>0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21</v>
      </c>
      <c r="J22">
        <v>240</v>
      </c>
      <c r="K22">
        <v>1</v>
      </c>
    </row>
    <row r="23" spans="1:11" x14ac:dyDescent="0.3">
      <c r="A23">
        <v>58</v>
      </c>
      <c r="B23">
        <v>0</v>
      </c>
      <c r="C23">
        <v>0</v>
      </c>
      <c r="D23">
        <v>0</v>
      </c>
      <c r="E23">
        <v>1</v>
      </c>
      <c r="F23">
        <v>0</v>
      </c>
      <c r="G23">
        <v>1</v>
      </c>
      <c r="H23">
        <v>0</v>
      </c>
      <c r="I23">
        <v>14</v>
      </c>
      <c r="J23">
        <v>224</v>
      </c>
      <c r="K23">
        <v>1</v>
      </c>
    </row>
    <row r="24" spans="1:11" x14ac:dyDescent="0.3">
      <c r="A24">
        <v>62</v>
      </c>
      <c r="B24">
        <v>1</v>
      </c>
      <c r="C24">
        <v>0</v>
      </c>
      <c r="D24">
        <v>0</v>
      </c>
      <c r="E24">
        <v>0</v>
      </c>
      <c r="F24">
        <v>1</v>
      </c>
      <c r="G24">
        <v>1</v>
      </c>
      <c r="H24">
        <v>0</v>
      </c>
      <c r="I24">
        <v>15</v>
      </c>
      <c r="J24">
        <v>229</v>
      </c>
      <c r="K24">
        <v>2</v>
      </c>
    </row>
    <row r="25" spans="1:11" x14ac:dyDescent="0.3">
      <c r="A25">
        <v>56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11</v>
      </c>
      <c r="J25">
        <v>186</v>
      </c>
      <c r="K25">
        <v>1</v>
      </c>
    </row>
    <row r="26" spans="1:11" x14ac:dyDescent="0.3">
      <c r="A26">
        <v>53</v>
      </c>
      <c r="B26">
        <v>0</v>
      </c>
      <c r="C26">
        <v>1</v>
      </c>
      <c r="D26">
        <v>1</v>
      </c>
      <c r="E26">
        <v>0</v>
      </c>
      <c r="F26">
        <v>0</v>
      </c>
      <c r="G26">
        <v>0</v>
      </c>
      <c r="H26">
        <v>1</v>
      </c>
      <c r="I26">
        <v>14</v>
      </c>
      <c r="J26">
        <v>186</v>
      </c>
      <c r="K26">
        <v>3</v>
      </c>
    </row>
    <row r="27" spans="1:11" x14ac:dyDescent="0.3">
      <c r="A27">
        <v>44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13</v>
      </c>
      <c r="J27">
        <v>212</v>
      </c>
      <c r="K27">
        <v>1</v>
      </c>
    </row>
    <row r="28" spans="1:11" x14ac:dyDescent="0.3">
      <c r="A28">
        <v>51</v>
      </c>
      <c r="B28">
        <v>1</v>
      </c>
      <c r="C28">
        <v>1</v>
      </c>
      <c r="D28">
        <v>0</v>
      </c>
      <c r="E28">
        <v>1</v>
      </c>
      <c r="F28">
        <v>0</v>
      </c>
      <c r="G28">
        <v>1</v>
      </c>
      <c r="H28">
        <v>1</v>
      </c>
      <c r="I28">
        <v>15</v>
      </c>
      <c r="J28">
        <v>177</v>
      </c>
      <c r="K28">
        <v>3</v>
      </c>
    </row>
    <row r="29" spans="1:11" x14ac:dyDescent="0.3">
      <c r="A29">
        <v>31</v>
      </c>
      <c r="B29">
        <v>1</v>
      </c>
      <c r="C29">
        <v>1</v>
      </c>
      <c r="D29">
        <v>1</v>
      </c>
      <c r="E29">
        <v>1</v>
      </c>
      <c r="F29">
        <v>0</v>
      </c>
      <c r="G29">
        <v>1</v>
      </c>
      <c r="H29">
        <v>1</v>
      </c>
      <c r="I29">
        <v>9</v>
      </c>
      <c r="J29">
        <v>174</v>
      </c>
      <c r="K29">
        <v>3</v>
      </c>
    </row>
    <row r="30" spans="1:11" x14ac:dyDescent="0.3">
      <c r="A30">
        <v>52</v>
      </c>
      <c r="B30">
        <v>0</v>
      </c>
      <c r="C30">
        <v>0</v>
      </c>
      <c r="D30">
        <v>0</v>
      </c>
      <c r="E30">
        <v>1</v>
      </c>
      <c r="F30">
        <v>0</v>
      </c>
      <c r="G30">
        <v>1</v>
      </c>
      <c r="H30">
        <v>1</v>
      </c>
      <c r="I30">
        <v>11</v>
      </c>
      <c r="J30">
        <v>193</v>
      </c>
      <c r="K30">
        <v>1</v>
      </c>
    </row>
    <row r="31" spans="1:11" x14ac:dyDescent="0.3">
      <c r="A31">
        <v>39</v>
      </c>
      <c r="B31">
        <v>1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16</v>
      </c>
      <c r="J31">
        <v>199</v>
      </c>
      <c r="K31">
        <v>3</v>
      </c>
    </row>
    <row r="32" spans="1:11" x14ac:dyDescent="0.3">
      <c r="A32">
        <v>46</v>
      </c>
      <c r="B32">
        <v>1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15</v>
      </c>
      <c r="J32">
        <v>201</v>
      </c>
      <c r="K32">
        <v>2</v>
      </c>
    </row>
    <row r="33" spans="1:11" x14ac:dyDescent="0.3">
      <c r="A33">
        <v>50</v>
      </c>
      <c r="B33">
        <v>1</v>
      </c>
      <c r="C33">
        <v>1</v>
      </c>
      <c r="D33">
        <v>1</v>
      </c>
      <c r="E33">
        <v>0</v>
      </c>
      <c r="F33">
        <v>0</v>
      </c>
      <c r="G33">
        <v>0</v>
      </c>
      <c r="H33">
        <v>1</v>
      </c>
      <c r="I33">
        <v>12</v>
      </c>
      <c r="J33">
        <v>205</v>
      </c>
      <c r="K33">
        <v>3</v>
      </c>
    </row>
    <row r="34" spans="1:11" x14ac:dyDescent="0.3">
      <c r="A34">
        <v>57</v>
      </c>
      <c r="B34">
        <v>0</v>
      </c>
      <c r="C34">
        <v>1</v>
      </c>
      <c r="D34">
        <v>1</v>
      </c>
      <c r="E34">
        <v>0</v>
      </c>
      <c r="F34">
        <v>0</v>
      </c>
      <c r="G34">
        <v>1</v>
      </c>
      <c r="H34">
        <v>0</v>
      </c>
      <c r="I34">
        <v>17</v>
      </c>
      <c r="J34">
        <v>204</v>
      </c>
      <c r="K34">
        <v>3</v>
      </c>
    </row>
    <row r="35" spans="1:11" x14ac:dyDescent="0.3">
      <c r="A35">
        <v>51</v>
      </c>
      <c r="B35">
        <v>1</v>
      </c>
      <c r="C35">
        <v>0</v>
      </c>
      <c r="D35">
        <v>1</v>
      </c>
      <c r="E35">
        <v>0</v>
      </c>
      <c r="F35">
        <v>1</v>
      </c>
      <c r="G35">
        <v>0</v>
      </c>
      <c r="H35">
        <v>0</v>
      </c>
      <c r="I35">
        <v>20</v>
      </c>
      <c r="J35">
        <v>228</v>
      </c>
      <c r="K35">
        <v>3</v>
      </c>
    </row>
    <row r="36" spans="1:11" x14ac:dyDescent="0.3">
      <c r="A36">
        <v>46</v>
      </c>
      <c r="B36">
        <v>1</v>
      </c>
      <c r="C36">
        <v>1</v>
      </c>
      <c r="D36">
        <v>0</v>
      </c>
      <c r="E36">
        <v>0</v>
      </c>
      <c r="F36">
        <v>0</v>
      </c>
      <c r="G36">
        <v>0</v>
      </c>
      <c r="H36">
        <v>0</v>
      </c>
      <c r="I36">
        <v>19</v>
      </c>
      <c r="J36">
        <v>192</v>
      </c>
      <c r="K36">
        <v>3</v>
      </c>
    </row>
    <row r="37" spans="1:11" x14ac:dyDescent="0.3">
      <c r="A37">
        <v>68</v>
      </c>
      <c r="B37">
        <v>1</v>
      </c>
      <c r="C37">
        <v>1</v>
      </c>
      <c r="D37">
        <v>0</v>
      </c>
      <c r="E37">
        <v>0</v>
      </c>
      <c r="F37">
        <v>0</v>
      </c>
      <c r="G37">
        <v>0</v>
      </c>
      <c r="H37">
        <v>1</v>
      </c>
      <c r="I37">
        <v>17</v>
      </c>
      <c r="J37">
        <v>177</v>
      </c>
      <c r="K37">
        <v>2</v>
      </c>
    </row>
    <row r="38" spans="1:11" x14ac:dyDescent="0.3">
      <c r="A38">
        <v>58</v>
      </c>
      <c r="B38">
        <v>1</v>
      </c>
      <c r="C38">
        <v>0</v>
      </c>
      <c r="D38">
        <v>1</v>
      </c>
      <c r="E38">
        <v>1</v>
      </c>
      <c r="F38">
        <v>0</v>
      </c>
      <c r="G38">
        <v>1</v>
      </c>
      <c r="H38">
        <v>0</v>
      </c>
      <c r="I38">
        <v>18</v>
      </c>
      <c r="J38">
        <v>251</v>
      </c>
      <c r="K38">
        <v>3</v>
      </c>
    </row>
    <row r="39" spans="1:11" x14ac:dyDescent="0.3">
      <c r="A39">
        <v>65</v>
      </c>
      <c r="B39">
        <v>1</v>
      </c>
      <c r="C39">
        <v>0</v>
      </c>
      <c r="D39">
        <v>0</v>
      </c>
      <c r="E39">
        <v>0</v>
      </c>
      <c r="F39">
        <v>0</v>
      </c>
      <c r="G39">
        <v>1</v>
      </c>
      <c r="H39">
        <v>1</v>
      </c>
      <c r="I39">
        <v>21</v>
      </c>
      <c r="J39">
        <v>228</v>
      </c>
      <c r="K39">
        <v>3</v>
      </c>
    </row>
    <row r="40" spans="1:11" x14ac:dyDescent="0.3">
      <c r="A40">
        <v>33</v>
      </c>
      <c r="B40">
        <v>0</v>
      </c>
      <c r="C40">
        <v>0</v>
      </c>
      <c r="D40">
        <v>0</v>
      </c>
      <c r="E40">
        <v>1</v>
      </c>
      <c r="F40">
        <v>0</v>
      </c>
      <c r="G40">
        <v>0</v>
      </c>
      <c r="H40">
        <v>1</v>
      </c>
      <c r="I40">
        <v>17</v>
      </c>
      <c r="J40">
        <v>230</v>
      </c>
      <c r="K40">
        <v>1</v>
      </c>
    </row>
    <row r="41" spans="1:11" x14ac:dyDescent="0.3">
      <c r="A41">
        <v>52</v>
      </c>
      <c r="B41">
        <v>1</v>
      </c>
      <c r="C41">
        <v>1</v>
      </c>
      <c r="D41">
        <v>1</v>
      </c>
      <c r="E41">
        <v>1</v>
      </c>
      <c r="F41">
        <v>0</v>
      </c>
      <c r="G41">
        <v>0</v>
      </c>
      <c r="H41">
        <v>0</v>
      </c>
      <c r="I41">
        <v>11</v>
      </c>
      <c r="J41">
        <v>217</v>
      </c>
      <c r="K41">
        <v>3</v>
      </c>
    </row>
    <row r="42" spans="1:11" x14ac:dyDescent="0.3">
      <c r="A42">
        <v>36</v>
      </c>
      <c r="B42">
        <v>0</v>
      </c>
      <c r="C42">
        <v>1</v>
      </c>
      <c r="D42">
        <v>1</v>
      </c>
      <c r="E42">
        <v>0</v>
      </c>
      <c r="F42">
        <v>1</v>
      </c>
      <c r="G42">
        <v>0</v>
      </c>
      <c r="H42">
        <v>1</v>
      </c>
      <c r="I42">
        <v>17</v>
      </c>
      <c r="J42">
        <v>233</v>
      </c>
      <c r="K42">
        <v>2</v>
      </c>
    </row>
    <row r="43" spans="1:11" x14ac:dyDescent="0.3">
      <c r="A43">
        <v>49</v>
      </c>
      <c r="B43">
        <v>0</v>
      </c>
      <c r="C43">
        <v>1</v>
      </c>
      <c r="D43">
        <v>1</v>
      </c>
      <c r="E43">
        <v>0</v>
      </c>
      <c r="F43">
        <v>0</v>
      </c>
      <c r="G43">
        <v>1</v>
      </c>
      <c r="H43">
        <v>1</v>
      </c>
      <c r="I43">
        <v>14</v>
      </c>
      <c r="J43">
        <v>202</v>
      </c>
      <c r="K43">
        <v>2</v>
      </c>
    </row>
    <row r="44" spans="1:11" x14ac:dyDescent="0.3">
      <c r="A44">
        <v>62</v>
      </c>
      <c r="B44">
        <v>0</v>
      </c>
      <c r="C44">
        <v>0</v>
      </c>
      <c r="D44">
        <v>0</v>
      </c>
      <c r="E44">
        <v>0</v>
      </c>
      <c r="F44">
        <v>1</v>
      </c>
      <c r="G44">
        <v>0</v>
      </c>
      <c r="H44">
        <v>0</v>
      </c>
      <c r="I44">
        <v>14</v>
      </c>
      <c r="J44">
        <v>195</v>
      </c>
      <c r="K44">
        <v>1</v>
      </c>
    </row>
    <row r="45" spans="1:11" x14ac:dyDescent="0.3">
      <c r="A45">
        <v>45</v>
      </c>
      <c r="B45">
        <v>0</v>
      </c>
      <c r="C45">
        <v>0</v>
      </c>
      <c r="D45">
        <v>0</v>
      </c>
      <c r="E45">
        <v>1</v>
      </c>
      <c r="F45">
        <v>0</v>
      </c>
      <c r="G45">
        <v>0</v>
      </c>
      <c r="H45">
        <v>1</v>
      </c>
      <c r="I45">
        <v>20</v>
      </c>
      <c r="J45">
        <v>217</v>
      </c>
      <c r="K45">
        <v>1</v>
      </c>
    </row>
    <row r="46" spans="1:11" x14ac:dyDescent="0.3">
      <c r="A46">
        <v>43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>
        <v>1</v>
      </c>
      <c r="I46">
        <v>13</v>
      </c>
      <c r="J46">
        <v>216</v>
      </c>
      <c r="K46">
        <v>1</v>
      </c>
    </row>
    <row r="47" spans="1:11" x14ac:dyDescent="0.3">
      <c r="A47">
        <v>53</v>
      </c>
      <c r="B47">
        <v>1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15</v>
      </c>
      <c r="J47">
        <v>202</v>
      </c>
      <c r="K47">
        <v>2</v>
      </c>
    </row>
    <row r="48" spans="1:11" x14ac:dyDescent="0.3">
      <c r="A48">
        <v>54</v>
      </c>
      <c r="B48">
        <v>0</v>
      </c>
      <c r="C48">
        <v>1</v>
      </c>
      <c r="D48">
        <v>0</v>
      </c>
      <c r="E48">
        <v>1</v>
      </c>
      <c r="F48">
        <v>0</v>
      </c>
      <c r="G48">
        <v>1</v>
      </c>
      <c r="H48">
        <v>1</v>
      </c>
      <c r="I48">
        <v>10</v>
      </c>
      <c r="J48">
        <v>198</v>
      </c>
      <c r="K48">
        <v>3</v>
      </c>
    </row>
    <row r="49" spans="1:11" x14ac:dyDescent="0.3">
      <c r="A49">
        <v>51</v>
      </c>
      <c r="B49">
        <v>0</v>
      </c>
      <c r="C49">
        <v>1</v>
      </c>
      <c r="D49">
        <v>1</v>
      </c>
      <c r="E49">
        <v>1</v>
      </c>
      <c r="F49">
        <v>0</v>
      </c>
      <c r="G49">
        <v>0</v>
      </c>
      <c r="H49">
        <v>0</v>
      </c>
      <c r="I49">
        <v>19</v>
      </c>
      <c r="J49">
        <v>198</v>
      </c>
      <c r="K49">
        <v>3</v>
      </c>
    </row>
    <row r="50" spans="1:11" x14ac:dyDescent="0.3">
      <c r="A50">
        <v>48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1</v>
      </c>
      <c r="I50">
        <v>15</v>
      </c>
      <c r="J50">
        <v>206</v>
      </c>
      <c r="K50">
        <v>1</v>
      </c>
    </row>
    <row r="51" spans="1:11" x14ac:dyDescent="0.3">
      <c r="A51">
        <v>28</v>
      </c>
      <c r="B51">
        <v>1</v>
      </c>
      <c r="C51">
        <v>0</v>
      </c>
      <c r="D51">
        <v>0</v>
      </c>
      <c r="E51">
        <v>0</v>
      </c>
      <c r="F51">
        <v>0</v>
      </c>
      <c r="G51">
        <v>1</v>
      </c>
      <c r="H51">
        <v>1</v>
      </c>
      <c r="I51">
        <v>18</v>
      </c>
      <c r="J51">
        <v>208</v>
      </c>
      <c r="K51">
        <v>3</v>
      </c>
    </row>
    <row r="52" spans="1:11" x14ac:dyDescent="0.3">
      <c r="A52">
        <v>50</v>
      </c>
      <c r="B52">
        <v>1</v>
      </c>
      <c r="C52">
        <v>0</v>
      </c>
      <c r="D52">
        <v>1</v>
      </c>
      <c r="E52">
        <v>1</v>
      </c>
      <c r="F52">
        <v>0</v>
      </c>
      <c r="G52">
        <v>1</v>
      </c>
      <c r="H52">
        <v>1</v>
      </c>
      <c r="I52">
        <v>18</v>
      </c>
      <c r="J52">
        <v>205</v>
      </c>
      <c r="K52">
        <v>3</v>
      </c>
    </row>
    <row r="53" spans="1:11" x14ac:dyDescent="0.3">
      <c r="A53">
        <v>54</v>
      </c>
      <c r="B53">
        <v>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12</v>
      </c>
      <c r="J53">
        <v>205</v>
      </c>
      <c r="K53">
        <v>1</v>
      </c>
    </row>
    <row r="54" spans="1:11" x14ac:dyDescent="0.3">
      <c r="A54">
        <v>66</v>
      </c>
      <c r="B54">
        <v>1</v>
      </c>
      <c r="C54">
        <v>1</v>
      </c>
      <c r="D54">
        <v>1</v>
      </c>
      <c r="E54">
        <v>1</v>
      </c>
      <c r="F54">
        <v>0</v>
      </c>
      <c r="G54">
        <v>0</v>
      </c>
      <c r="H54">
        <v>1</v>
      </c>
      <c r="I54">
        <v>19</v>
      </c>
      <c r="J54">
        <v>207</v>
      </c>
      <c r="K54">
        <v>3</v>
      </c>
    </row>
    <row r="55" spans="1:11" x14ac:dyDescent="0.3">
      <c r="A55">
        <v>48</v>
      </c>
      <c r="B55">
        <v>0</v>
      </c>
      <c r="C55">
        <v>0</v>
      </c>
      <c r="D55">
        <v>0</v>
      </c>
      <c r="E55">
        <v>0</v>
      </c>
      <c r="F55">
        <v>0</v>
      </c>
      <c r="G55">
        <v>1</v>
      </c>
      <c r="H55">
        <v>0</v>
      </c>
      <c r="I55">
        <v>11</v>
      </c>
      <c r="J55">
        <v>212</v>
      </c>
      <c r="K55">
        <v>3</v>
      </c>
    </row>
    <row r="56" spans="1:11" x14ac:dyDescent="0.3">
      <c r="A56">
        <v>76</v>
      </c>
      <c r="B56">
        <v>0</v>
      </c>
      <c r="C56">
        <v>1</v>
      </c>
      <c r="D56">
        <v>0</v>
      </c>
      <c r="E56">
        <v>1</v>
      </c>
      <c r="F56">
        <v>0</v>
      </c>
      <c r="G56">
        <v>0</v>
      </c>
      <c r="H56">
        <v>0</v>
      </c>
      <c r="I56">
        <v>13</v>
      </c>
      <c r="J56">
        <v>222</v>
      </c>
      <c r="K56">
        <v>2</v>
      </c>
    </row>
    <row r="57" spans="1:11" x14ac:dyDescent="0.3">
      <c r="A57">
        <v>60</v>
      </c>
      <c r="B57">
        <v>0</v>
      </c>
      <c r="C57">
        <v>1</v>
      </c>
      <c r="D57">
        <v>1</v>
      </c>
      <c r="E57">
        <v>1</v>
      </c>
      <c r="F57">
        <v>0</v>
      </c>
      <c r="G57">
        <v>0</v>
      </c>
      <c r="H57">
        <v>1</v>
      </c>
      <c r="I57">
        <v>14</v>
      </c>
      <c r="J57">
        <v>237</v>
      </c>
      <c r="K57">
        <v>2</v>
      </c>
    </row>
    <row r="58" spans="1:11" x14ac:dyDescent="0.3">
      <c r="A58">
        <v>53</v>
      </c>
      <c r="B58">
        <v>1</v>
      </c>
      <c r="C58">
        <v>0</v>
      </c>
      <c r="D58">
        <v>0</v>
      </c>
      <c r="E58">
        <v>1</v>
      </c>
      <c r="F58">
        <v>1</v>
      </c>
      <c r="G58">
        <v>0</v>
      </c>
      <c r="H58">
        <v>1</v>
      </c>
      <c r="I58">
        <v>14</v>
      </c>
      <c r="J58">
        <v>234</v>
      </c>
      <c r="K58">
        <v>2</v>
      </c>
    </row>
    <row r="59" spans="1:11" x14ac:dyDescent="0.3">
      <c r="A59">
        <v>20</v>
      </c>
      <c r="B59">
        <v>0</v>
      </c>
      <c r="C59">
        <v>0</v>
      </c>
      <c r="D59">
        <v>0</v>
      </c>
      <c r="E59">
        <v>1</v>
      </c>
      <c r="F59">
        <v>1</v>
      </c>
      <c r="G59">
        <v>0</v>
      </c>
      <c r="H59">
        <v>1</v>
      </c>
      <c r="I59">
        <v>15</v>
      </c>
      <c r="J59">
        <v>235</v>
      </c>
      <c r="K59">
        <v>1</v>
      </c>
    </row>
    <row r="60" spans="1:11" x14ac:dyDescent="0.3">
      <c r="A60">
        <v>54</v>
      </c>
      <c r="B60">
        <v>0</v>
      </c>
      <c r="C60">
        <v>0</v>
      </c>
      <c r="D60">
        <v>1</v>
      </c>
      <c r="E60">
        <v>0</v>
      </c>
      <c r="F60">
        <v>1</v>
      </c>
      <c r="G60">
        <v>0</v>
      </c>
      <c r="H60">
        <v>0</v>
      </c>
      <c r="I60">
        <v>11</v>
      </c>
      <c r="J60">
        <v>226</v>
      </c>
      <c r="K60">
        <v>1</v>
      </c>
    </row>
    <row r="61" spans="1:11" x14ac:dyDescent="0.3">
      <c r="A61">
        <v>53</v>
      </c>
      <c r="B61">
        <v>1</v>
      </c>
      <c r="C61">
        <v>1</v>
      </c>
      <c r="D61">
        <v>1</v>
      </c>
      <c r="E61">
        <v>1</v>
      </c>
      <c r="F61">
        <v>0</v>
      </c>
      <c r="G61">
        <v>0</v>
      </c>
      <c r="H61">
        <v>1</v>
      </c>
      <c r="I61">
        <v>12</v>
      </c>
      <c r="J61">
        <v>219</v>
      </c>
      <c r="K61">
        <v>3</v>
      </c>
    </row>
    <row r="62" spans="1:11" x14ac:dyDescent="0.3">
      <c r="A62">
        <v>63</v>
      </c>
      <c r="B62">
        <v>1</v>
      </c>
      <c r="C62">
        <v>1</v>
      </c>
      <c r="D62">
        <v>1</v>
      </c>
      <c r="E62">
        <v>1</v>
      </c>
      <c r="F62">
        <v>0</v>
      </c>
      <c r="G62">
        <v>0</v>
      </c>
      <c r="H62">
        <v>1</v>
      </c>
      <c r="I62">
        <v>16</v>
      </c>
      <c r="J62">
        <v>242</v>
      </c>
      <c r="K62">
        <v>3</v>
      </c>
    </row>
    <row r="63" spans="1:11" x14ac:dyDescent="0.3">
      <c r="A63">
        <v>57</v>
      </c>
      <c r="B63">
        <v>0</v>
      </c>
      <c r="C63">
        <v>0</v>
      </c>
      <c r="D63">
        <v>1</v>
      </c>
      <c r="E63">
        <v>1</v>
      </c>
      <c r="F63">
        <v>0</v>
      </c>
      <c r="G63">
        <v>0</v>
      </c>
      <c r="H63">
        <v>1</v>
      </c>
      <c r="I63">
        <v>12</v>
      </c>
      <c r="J63">
        <v>235</v>
      </c>
      <c r="K63">
        <v>3</v>
      </c>
    </row>
    <row r="64" spans="1:11" x14ac:dyDescent="0.3">
      <c r="A64">
        <v>47</v>
      </c>
      <c r="B64">
        <v>0</v>
      </c>
      <c r="C64">
        <v>1</v>
      </c>
      <c r="D64">
        <v>0</v>
      </c>
      <c r="E64">
        <v>0</v>
      </c>
      <c r="F64">
        <v>1</v>
      </c>
      <c r="G64">
        <v>1</v>
      </c>
      <c r="H64">
        <v>0</v>
      </c>
      <c r="I64">
        <v>16</v>
      </c>
      <c r="J64">
        <v>225</v>
      </c>
      <c r="K64">
        <v>1</v>
      </c>
    </row>
    <row r="65" spans="1:11" x14ac:dyDescent="0.3">
      <c r="A65">
        <v>43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0</v>
      </c>
      <c r="I65">
        <v>15</v>
      </c>
      <c r="J65">
        <v>208</v>
      </c>
      <c r="K65">
        <v>1</v>
      </c>
    </row>
    <row r="66" spans="1:11" x14ac:dyDescent="0.3">
      <c r="A66">
        <v>45</v>
      </c>
      <c r="B66">
        <v>0</v>
      </c>
      <c r="C66">
        <v>0</v>
      </c>
      <c r="D66">
        <v>0</v>
      </c>
      <c r="E66">
        <v>0</v>
      </c>
      <c r="F66">
        <v>1</v>
      </c>
      <c r="G66">
        <v>0</v>
      </c>
      <c r="H66">
        <v>0</v>
      </c>
      <c r="I66">
        <v>19</v>
      </c>
      <c r="J66">
        <v>221</v>
      </c>
      <c r="K66">
        <v>1</v>
      </c>
    </row>
    <row r="67" spans="1:11" x14ac:dyDescent="0.3">
      <c r="A67">
        <v>56</v>
      </c>
      <c r="B67">
        <v>0</v>
      </c>
      <c r="C67">
        <v>1</v>
      </c>
      <c r="D67">
        <v>1</v>
      </c>
      <c r="E67">
        <v>0</v>
      </c>
      <c r="F67">
        <v>1</v>
      </c>
      <c r="G67">
        <v>1</v>
      </c>
      <c r="H67">
        <v>0</v>
      </c>
      <c r="I67">
        <v>19</v>
      </c>
      <c r="J67">
        <v>178</v>
      </c>
      <c r="K67">
        <v>2</v>
      </c>
    </row>
    <row r="68" spans="1:11" x14ac:dyDescent="0.3">
      <c r="A68">
        <v>54</v>
      </c>
      <c r="B68">
        <v>0</v>
      </c>
      <c r="C68">
        <v>1</v>
      </c>
      <c r="D68">
        <v>1</v>
      </c>
      <c r="E68">
        <v>1</v>
      </c>
      <c r="F68">
        <v>0</v>
      </c>
      <c r="G68">
        <v>1</v>
      </c>
      <c r="H68">
        <v>1</v>
      </c>
      <c r="I68">
        <v>13</v>
      </c>
      <c r="J68">
        <v>201</v>
      </c>
      <c r="K68">
        <v>3</v>
      </c>
    </row>
    <row r="69" spans="1:11" x14ac:dyDescent="0.3">
      <c r="A69">
        <v>44</v>
      </c>
      <c r="B69">
        <v>0</v>
      </c>
      <c r="C69">
        <v>0</v>
      </c>
      <c r="D69">
        <v>1</v>
      </c>
      <c r="E69">
        <v>0</v>
      </c>
      <c r="F69">
        <v>0</v>
      </c>
      <c r="G69">
        <v>1</v>
      </c>
      <c r="H69">
        <v>0</v>
      </c>
      <c r="I69">
        <v>15</v>
      </c>
      <c r="J69">
        <v>174</v>
      </c>
      <c r="K69">
        <v>1</v>
      </c>
    </row>
    <row r="70" spans="1:11" x14ac:dyDescent="0.3">
      <c r="A70">
        <v>47</v>
      </c>
      <c r="B70">
        <v>0</v>
      </c>
      <c r="C70">
        <v>1</v>
      </c>
      <c r="D70">
        <v>0</v>
      </c>
      <c r="E70">
        <v>0</v>
      </c>
      <c r="F70">
        <v>0</v>
      </c>
      <c r="G70">
        <v>0</v>
      </c>
      <c r="H70">
        <v>1</v>
      </c>
      <c r="I70">
        <v>15</v>
      </c>
      <c r="J70">
        <v>212</v>
      </c>
      <c r="K70">
        <v>1</v>
      </c>
    </row>
    <row r="71" spans="1:11" x14ac:dyDescent="0.3">
      <c r="A71">
        <v>48</v>
      </c>
      <c r="B71">
        <v>1</v>
      </c>
      <c r="C71">
        <v>1</v>
      </c>
      <c r="D71">
        <v>0</v>
      </c>
      <c r="E71">
        <v>1</v>
      </c>
      <c r="F71">
        <v>0</v>
      </c>
      <c r="G71">
        <v>0</v>
      </c>
      <c r="H71">
        <v>0</v>
      </c>
      <c r="I71">
        <v>20</v>
      </c>
      <c r="J71">
        <v>191</v>
      </c>
      <c r="K71">
        <v>3</v>
      </c>
    </row>
    <row r="72" spans="1:11" x14ac:dyDescent="0.3">
      <c r="A72">
        <v>44</v>
      </c>
      <c r="B72">
        <v>1</v>
      </c>
      <c r="C72">
        <v>0</v>
      </c>
      <c r="D72">
        <v>0</v>
      </c>
      <c r="E72">
        <v>1</v>
      </c>
      <c r="F72">
        <v>1</v>
      </c>
      <c r="G72">
        <v>0</v>
      </c>
      <c r="H72">
        <v>1</v>
      </c>
      <c r="I72">
        <v>13</v>
      </c>
      <c r="J72">
        <v>215</v>
      </c>
      <c r="K72">
        <v>3</v>
      </c>
    </row>
    <row r="73" spans="1:11" x14ac:dyDescent="0.3">
      <c r="A73">
        <v>54</v>
      </c>
      <c r="B73">
        <v>0</v>
      </c>
      <c r="C73">
        <v>1</v>
      </c>
      <c r="D73">
        <v>1</v>
      </c>
      <c r="E73">
        <v>1</v>
      </c>
      <c r="F73">
        <v>0</v>
      </c>
      <c r="G73">
        <v>0</v>
      </c>
      <c r="H73">
        <v>1</v>
      </c>
      <c r="I73">
        <v>15</v>
      </c>
      <c r="J73">
        <v>245</v>
      </c>
      <c r="K73">
        <v>3</v>
      </c>
    </row>
    <row r="74" spans="1:11" x14ac:dyDescent="0.3">
      <c r="A74">
        <v>52</v>
      </c>
      <c r="B74">
        <v>0</v>
      </c>
      <c r="C74">
        <v>1</v>
      </c>
      <c r="D74">
        <v>1</v>
      </c>
      <c r="E74">
        <v>0</v>
      </c>
      <c r="F74">
        <v>0</v>
      </c>
      <c r="G74">
        <v>0</v>
      </c>
      <c r="H74">
        <v>1</v>
      </c>
      <c r="I74">
        <v>12</v>
      </c>
      <c r="J74">
        <v>202</v>
      </c>
      <c r="K74">
        <v>3</v>
      </c>
    </row>
    <row r="75" spans="1:11" x14ac:dyDescent="0.3">
      <c r="A75">
        <v>40</v>
      </c>
      <c r="B75">
        <v>1</v>
      </c>
      <c r="C75">
        <v>1</v>
      </c>
      <c r="D75">
        <v>1</v>
      </c>
      <c r="E75">
        <v>0</v>
      </c>
      <c r="F75">
        <v>0</v>
      </c>
      <c r="G75">
        <v>0</v>
      </c>
      <c r="H75">
        <v>1</v>
      </c>
      <c r="I75">
        <v>19</v>
      </c>
      <c r="J75">
        <v>254</v>
      </c>
      <c r="K75">
        <v>2</v>
      </c>
    </row>
    <row r="76" spans="1:11" x14ac:dyDescent="0.3">
      <c r="A76">
        <v>50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0</v>
      </c>
      <c r="I76">
        <v>16</v>
      </c>
      <c r="J76">
        <v>224</v>
      </c>
      <c r="K76">
        <v>3</v>
      </c>
    </row>
    <row r="77" spans="1:11" x14ac:dyDescent="0.3">
      <c r="A77">
        <v>65</v>
      </c>
      <c r="B77">
        <v>1</v>
      </c>
      <c r="C77">
        <v>1</v>
      </c>
      <c r="D77">
        <v>1</v>
      </c>
      <c r="E77">
        <v>1</v>
      </c>
      <c r="F77">
        <v>0</v>
      </c>
      <c r="G77">
        <v>0</v>
      </c>
      <c r="H77">
        <v>0</v>
      </c>
      <c r="I77">
        <v>19</v>
      </c>
      <c r="J77">
        <v>191</v>
      </c>
      <c r="K77">
        <v>3</v>
      </c>
    </row>
    <row r="78" spans="1:11" x14ac:dyDescent="0.3">
      <c r="A78">
        <v>58</v>
      </c>
      <c r="B78">
        <v>1</v>
      </c>
      <c r="C78">
        <v>0</v>
      </c>
      <c r="D78">
        <v>0</v>
      </c>
      <c r="E78">
        <v>0</v>
      </c>
      <c r="F78">
        <v>0</v>
      </c>
      <c r="G78">
        <v>1</v>
      </c>
      <c r="H78">
        <v>1</v>
      </c>
      <c r="I78">
        <v>16</v>
      </c>
      <c r="J78">
        <v>225</v>
      </c>
      <c r="K78">
        <v>3</v>
      </c>
    </row>
    <row r="79" spans="1:11" x14ac:dyDescent="0.3">
      <c r="A79">
        <v>49</v>
      </c>
      <c r="B79">
        <v>1</v>
      </c>
      <c r="C79">
        <v>1</v>
      </c>
      <c r="D79">
        <v>0</v>
      </c>
      <c r="E79">
        <v>0</v>
      </c>
      <c r="F79">
        <v>1</v>
      </c>
      <c r="G79">
        <v>0</v>
      </c>
      <c r="H79">
        <v>1</v>
      </c>
      <c r="I79">
        <v>21</v>
      </c>
      <c r="J79">
        <v>209</v>
      </c>
      <c r="K79">
        <v>2</v>
      </c>
    </row>
    <row r="80" spans="1:11" x14ac:dyDescent="0.3">
      <c r="A80">
        <v>43</v>
      </c>
      <c r="B80">
        <v>0</v>
      </c>
      <c r="C80">
        <v>1</v>
      </c>
      <c r="D80">
        <v>0</v>
      </c>
      <c r="E80">
        <v>0</v>
      </c>
      <c r="F80">
        <v>1</v>
      </c>
      <c r="G80">
        <v>0</v>
      </c>
      <c r="H80">
        <v>1</v>
      </c>
      <c r="I80">
        <v>20</v>
      </c>
      <c r="J80">
        <v>182</v>
      </c>
      <c r="K80">
        <v>1</v>
      </c>
    </row>
    <row r="81" spans="1:11" x14ac:dyDescent="0.3">
      <c r="A81">
        <v>43</v>
      </c>
      <c r="B81">
        <v>0</v>
      </c>
      <c r="C81">
        <v>1</v>
      </c>
      <c r="D81">
        <v>0</v>
      </c>
      <c r="E81">
        <v>0</v>
      </c>
      <c r="F81">
        <v>0</v>
      </c>
      <c r="G81">
        <v>0</v>
      </c>
      <c r="H81">
        <v>1</v>
      </c>
      <c r="I81">
        <v>15</v>
      </c>
      <c r="J81">
        <v>219</v>
      </c>
      <c r="K81">
        <v>1</v>
      </c>
    </row>
    <row r="82" spans="1:11" x14ac:dyDescent="0.3">
      <c r="A82">
        <v>52</v>
      </c>
      <c r="B82">
        <v>0</v>
      </c>
      <c r="C82">
        <v>1</v>
      </c>
      <c r="D82">
        <v>0</v>
      </c>
      <c r="E82">
        <v>0</v>
      </c>
      <c r="F82">
        <v>1</v>
      </c>
      <c r="G82">
        <v>0</v>
      </c>
      <c r="H82">
        <v>1</v>
      </c>
      <c r="I82">
        <v>10</v>
      </c>
      <c r="J82">
        <v>187</v>
      </c>
      <c r="K82">
        <v>1</v>
      </c>
    </row>
    <row r="83" spans="1:11" x14ac:dyDescent="0.3">
      <c r="A83">
        <v>42</v>
      </c>
      <c r="B83">
        <v>1</v>
      </c>
      <c r="C83">
        <v>0</v>
      </c>
      <c r="D83">
        <v>0</v>
      </c>
      <c r="E83">
        <v>0</v>
      </c>
      <c r="F83">
        <v>1</v>
      </c>
      <c r="G83">
        <v>0</v>
      </c>
      <c r="H83">
        <v>1</v>
      </c>
      <c r="I83">
        <v>15</v>
      </c>
      <c r="J83">
        <v>191</v>
      </c>
      <c r="K83">
        <v>2</v>
      </c>
    </row>
    <row r="84" spans="1:11" x14ac:dyDescent="0.3">
      <c r="A84">
        <v>41</v>
      </c>
      <c r="B84">
        <v>0</v>
      </c>
      <c r="C84">
        <v>1</v>
      </c>
      <c r="D84">
        <v>1</v>
      </c>
      <c r="E84">
        <v>1</v>
      </c>
      <c r="F84">
        <v>0</v>
      </c>
      <c r="G84">
        <v>0</v>
      </c>
      <c r="H84">
        <v>0</v>
      </c>
      <c r="I84">
        <v>14</v>
      </c>
      <c r="J84">
        <v>199</v>
      </c>
      <c r="K84">
        <v>1</v>
      </c>
    </row>
    <row r="85" spans="1:11" x14ac:dyDescent="0.3">
      <c r="A85">
        <v>66</v>
      </c>
      <c r="B85">
        <v>1</v>
      </c>
      <c r="C85">
        <v>0</v>
      </c>
      <c r="D85">
        <v>0</v>
      </c>
      <c r="E85">
        <v>1</v>
      </c>
      <c r="F85">
        <v>1</v>
      </c>
      <c r="G85">
        <v>0</v>
      </c>
      <c r="H85">
        <v>1</v>
      </c>
      <c r="I85">
        <v>17</v>
      </c>
      <c r="J85">
        <v>192</v>
      </c>
      <c r="K85">
        <v>3</v>
      </c>
    </row>
    <row r="86" spans="1:11" x14ac:dyDescent="0.3">
      <c r="A86">
        <v>42</v>
      </c>
      <c r="B86">
        <v>1</v>
      </c>
      <c r="C86">
        <v>1</v>
      </c>
      <c r="D86">
        <v>1</v>
      </c>
      <c r="E86">
        <v>1</v>
      </c>
      <c r="F86">
        <v>0</v>
      </c>
      <c r="G86">
        <v>0</v>
      </c>
      <c r="H86">
        <v>0</v>
      </c>
      <c r="I86">
        <v>15</v>
      </c>
      <c r="J86">
        <v>225</v>
      </c>
      <c r="K86">
        <v>3</v>
      </c>
    </row>
    <row r="87" spans="1:11" x14ac:dyDescent="0.3">
      <c r="A87">
        <v>40</v>
      </c>
      <c r="B87">
        <v>1</v>
      </c>
      <c r="C87">
        <v>1</v>
      </c>
      <c r="D87">
        <v>1</v>
      </c>
      <c r="E87">
        <v>0</v>
      </c>
      <c r="F87">
        <v>0</v>
      </c>
      <c r="G87">
        <v>0</v>
      </c>
      <c r="H87">
        <v>0</v>
      </c>
      <c r="I87">
        <v>16</v>
      </c>
      <c r="J87">
        <v>221</v>
      </c>
      <c r="K87">
        <v>3</v>
      </c>
    </row>
    <row r="88" spans="1:11" x14ac:dyDescent="0.3">
      <c r="A88">
        <v>51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1</v>
      </c>
      <c r="I88">
        <v>16</v>
      </c>
      <c r="J88">
        <v>213</v>
      </c>
      <c r="K88">
        <v>3</v>
      </c>
    </row>
    <row r="89" spans="1:11" x14ac:dyDescent="0.3">
      <c r="A89">
        <v>38</v>
      </c>
      <c r="B89">
        <v>1</v>
      </c>
      <c r="C89">
        <v>1</v>
      </c>
      <c r="D89">
        <v>1</v>
      </c>
      <c r="E89">
        <v>1</v>
      </c>
      <c r="F89">
        <v>0</v>
      </c>
      <c r="G89">
        <v>0</v>
      </c>
      <c r="H89">
        <v>0</v>
      </c>
      <c r="I89">
        <v>15</v>
      </c>
      <c r="J89">
        <v>240</v>
      </c>
      <c r="K89">
        <v>2</v>
      </c>
    </row>
    <row r="90" spans="1:11" x14ac:dyDescent="0.3">
      <c r="A90">
        <v>49</v>
      </c>
      <c r="B90">
        <v>1</v>
      </c>
      <c r="C90">
        <v>1</v>
      </c>
      <c r="D90">
        <v>1</v>
      </c>
      <c r="E90">
        <v>0</v>
      </c>
      <c r="F90">
        <v>0</v>
      </c>
      <c r="G90">
        <v>0</v>
      </c>
      <c r="H90">
        <v>1</v>
      </c>
      <c r="I90">
        <v>12</v>
      </c>
      <c r="J90">
        <v>171</v>
      </c>
      <c r="K90">
        <v>3</v>
      </c>
    </row>
    <row r="91" spans="1:11" x14ac:dyDescent="0.3">
      <c r="A91">
        <v>48</v>
      </c>
      <c r="B91">
        <v>1</v>
      </c>
      <c r="C91">
        <v>1</v>
      </c>
      <c r="D91">
        <v>0</v>
      </c>
      <c r="E91">
        <v>1</v>
      </c>
      <c r="F91">
        <v>0</v>
      </c>
      <c r="G91">
        <v>0</v>
      </c>
      <c r="H91">
        <v>1</v>
      </c>
      <c r="I91">
        <v>11</v>
      </c>
      <c r="J91">
        <v>226</v>
      </c>
      <c r="K91">
        <v>3</v>
      </c>
    </row>
    <row r="92" spans="1:11" x14ac:dyDescent="0.3">
      <c r="A92">
        <v>45</v>
      </c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>
        <v>1</v>
      </c>
      <c r="I92">
        <v>11</v>
      </c>
      <c r="J92">
        <v>218</v>
      </c>
      <c r="K92">
        <v>1</v>
      </c>
    </row>
    <row r="93" spans="1:11" x14ac:dyDescent="0.3">
      <c r="A93">
        <v>57</v>
      </c>
      <c r="B93">
        <v>0</v>
      </c>
      <c r="C93">
        <v>0</v>
      </c>
      <c r="D93">
        <v>0</v>
      </c>
      <c r="E93">
        <v>1</v>
      </c>
      <c r="F93">
        <v>0</v>
      </c>
      <c r="G93">
        <v>1</v>
      </c>
      <c r="H93">
        <v>0</v>
      </c>
      <c r="I93">
        <v>18</v>
      </c>
      <c r="J93">
        <v>205</v>
      </c>
      <c r="K93">
        <v>1</v>
      </c>
    </row>
    <row r="94" spans="1:11" x14ac:dyDescent="0.3">
      <c r="A94">
        <v>49</v>
      </c>
      <c r="B94">
        <v>0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17</v>
      </c>
      <c r="J94">
        <v>217</v>
      </c>
      <c r="K94">
        <v>1</v>
      </c>
    </row>
    <row r="95" spans="1:11" x14ac:dyDescent="0.3">
      <c r="A95">
        <v>44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13</v>
      </c>
      <c r="J95">
        <v>219</v>
      </c>
      <c r="K95">
        <v>3</v>
      </c>
    </row>
    <row r="96" spans="1:11" x14ac:dyDescent="0.3">
      <c r="A96">
        <v>53</v>
      </c>
      <c r="B96">
        <v>1</v>
      </c>
      <c r="C96">
        <v>1</v>
      </c>
      <c r="D96">
        <v>1</v>
      </c>
      <c r="E96">
        <v>0</v>
      </c>
      <c r="F96">
        <v>1</v>
      </c>
      <c r="G96">
        <v>1</v>
      </c>
      <c r="H96">
        <v>0</v>
      </c>
      <c r="I96">
        <v>12</v>
      </c>
      <c r="J96">
        <v>235</v>
      </c>
      <c r="K96">
        <v>3</v>
      </c>
    </row>
    <row r="97" spans="1:11" x14ac:dyDescent="0.3">
      <c r="A97">
        <v>54</v>
      </c>
      <c r="B97">
        <v>0</v>
      </c>
      <c r="C97">
        <v>0</v>
      </c>
      <c r="D97">
        <v>1</v>
      </c>
      <c r="E97">
        <v>1</v>
      </c>
      <c r="F97">
        <v>1</v>
      </c>
      <c r="G97">
        <v>0</v>
      </c>
      <c r="H97">
        <v>0</v>
      </c>
      <c r="I97">
        <v>16</v>
      </c>
      <c r="J97">
        <v>195</v>
      </c>
      <c r="K97">
        <v>3</v>
      </c>
    </row>
    <row r="98" spans="1:11" x14ac:dyDescent="0.3">
      <c r="A98">
        <v>44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11</v>
      </c>
      <c r="J98">
        <v>192</v>
      </c>
      <c r="K98">
        <v>3</v>
      </c>
    </row>
    <row r="99" spans="1:11" x14ac:dyDescent="0.3">
      <c r="A99">
        <v>56</v>
      </c>
      <c r="B99">
        <v>0</v>
      </c>
      <c r="C99">
        <v>1</v>
      </c>
      <c r="D99">
        <v>0</v>
      </c>
      <c r="E99">
        <v>0</v>
      </c>
      <c r="F99">
        <v>0</v>
      </c>
      <c r="G99">
        <v>0</v>
      </c>
      <c r="H99">
        <v>1</v>
      </c>
      <c r="I99">
        <v>19</v>
      </c>
      <c r="J99">
        <v>169</v>
      </c>
      <c r="K99">
        <v>1</v>
      </c>
    </row>
    <row r="100" spans="1:11" x14ac:dyDescent="0.3">
      <c r="A100">
        <v>79</v>
      </c>
      <c r="B100">
        <v>0</v>
      </c>
      <c r="C100">
        <v>1</v>
      </c>
      <c r="D100">
        <v>0</v>
      </c>
      <c r="E100">
        <v>1</v>
      </c>
      <c r="F100">
        <v>0</v>
      </c>
      <c r="G100">
        <v>1</v>
      </c>
      <c r="H100">
        <v>1</v>
      </c>
      <c r="I100">
        <v>14</v>
      </c>
      <c r="J100">
        <v>192</v>
      </c>
      <c r="K100">
        <v>2</v>
      </c>
    </row>
    <row r="101" spans="1:11" x14ac:dyDescent="0.3">
      <c r="A101">
        <v>48</v>
      </c>
      <c r="B101">
        <v>1</v>
      </c>
      <c r="C101">
        <v>0</v>
      </c>
      <c r="D101">
        <v>1</v>
      </c>
      <c r="E101">
        <v>0</v>
      </c>
      <c r="F101">
        <v>0</v>
      </c>
      <c r="G101">
        <v>0</v>
      </c>
      <c r="H101">
        <v>0</v>
      </c>
      <c r="I101">
        <v>15</v>
      </c>
      <c r="J101">
        <v>196</v>
      </c>
      <c r="K101">
        <v>2</v>
      </c>
    </row>
    <row r="102" spans="1:11" x14ac:dyDescent="0.3">
      <c r="A102">
        <v>58</v>
      </c>
      <c r="B102">
        <v>1</v>
      </c>
      <c r="C102">
        <v>1</v>
      </c>
      <c r="D102">
        <v>1</v>
      </c>
      <c r="E102">
        <v>0</v>
      </c>
      <c r="F102">
        <v>0</v>
      </c>
      <c r="G102">
        <v>0</v>
      </c>
      <c r="H102">
        <v>1</v>
      </c>
      <c r="I102">
        <v>14</v>
      </c>
      <c r="J102">
        <v>213</v>
      </c>
      <c r="K102">
        <v>3</v>
      </c>
    </row>
    <row r="103" spans="1:11" x14ac:dyDescent="0.3">
      <c r="A103">
        <v>67</v>
      </c>
      <c r="B103">
        <v>1</v>
      </c>
      <c r="C103">
        <v>1</v>
      </c>
      <c r="D103">
        <v>1</v>
      </c>
      <c r="E103">
        <v>0</v>
      </c>
      <c r="F103">
        <v>1</v>
      </c>
      <c r="G103">
        <v>1</v>
      </c>
      <c r="H103">
        <v>1</v>
      </c>
      <c r="I103">
        <v>19</v>
      </c>
      <c r="J103">
        <v>222</v>
      </c>
      <c r="K103">
        <v>3</v>
      </c>
    </row>
    <row r="104" spans="1:11" x14ac:dyDescent="0.3">
      <c r="A104">
        <v>32</v>
      </c>
      <c r="B104">
        <v>0</v>
      </c>
      <c r="C104">
        <v>1</v>
      </c>
      <c r="D104">
        <v>1</v>
      </c>
      <c r="E104">
        <v>0</v>
      </c>
      <c r="F104">
        <v>0</v>
      </c>
      <c r="G104">
        <v>0</v>
      </c>
      <c r="H104">
        <v>1</v>
      </c>
      <c r="I104">
        <v>14</v>
      </c>
      <c r="J104">
        <v>214</v>
      </c>
      <c r="K104">
        <v>2</v>
      </c>
    </row>
    <row r="105" spans="1:11" x14ac:dyDescent="0.3">
      <c r="A105">
        <v>48</v>
      </c>
      <c r="B105">
        <v>0</v>
      </c>
      <c r="C105">
        <v>1</v>
      </c>
      <c r="D105">
        <v>1</v>
      </c>
      <c r="E105">
        <v>0</v>
      </c>
      <c r="F105">
        <v>0</v>
      </c>
      <c r="G105">
        <v>0</v>
      </c>
      <c r="H105">
        <v>1</v>
      </c>
      <c r="I105">
        <v>17</v>
      </c>
      <c r="J105">
        <v>226</v>
      </c>
      <c r="K105">
        <v>3</v>
      </c>
    </row>
    <row r="106" spans="1:11" x14ac:dyDescent="0.3">
      <c r="A106">
        <v>61</v>
      </c>
      <c r="B106">
        <v>0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16</v>
      </c>
      <c r="J106">
        <v>198</v>
      </c>
      <c r="K106">
        <v>2</v>
      </c>
    </row>
    <row r="107" spans="1:11" x14ac:dyDescent="0.3">
      <c r="A107">
        <v>58</v>
      </c>
      <c r="B107">
        <v>0</v>
      </c>
      <c r="C107">
        <v>0</v>
      </c>
      <c r="D107">
        <v>1</v>
      </c>
      <c r="E107">
        <v>0</v>
      </c>
      <c r="F107">
        <v>0</v>
      </c>
      <c r="G107">
        <v>1</v>
      </c>
      <c r="H107">
        <v>1</v>
      </c>
      <c r="I107">
        <v>17</v>
      </c>
      <c r="J107">
        <v>218</v>
      </c>
      <c r="K107">
        <v>1</v>
      </c>
    </row>
    <row r="108" spans="1:11" x14ac:dyDescent="0.3">
      <c r="A108">
        <v>55</v>
      </c>
      <c r="B108">
        <v>1</v>
      </c>
      <c r="C108">
        <v>0</v>
      </c>
      <c r="D108">
        <v>1</v>
      </c>
      <c r="E108">
        <v>0</v>
      </c>
      <c r="F108">
        <v>0</v>
      </c>
      <c r="G108">
        <v>1</v>
      </c>
      <c r="H108">
        <v>0</v>
      </c>
      <c r="I108">
        <v>17</v>
      </c>
      <c r="J108">
        <v>210</v>
      </c>
      <c r="K108">
        <v>3</v>
      </c>
    </row>
    <row r="109" spans="1:11" x14ac:dyDescent="0.3">
      <c r="A109">
        <v>59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1</v>
      </c>
      <c r="H109">
        <v>1</v>
      </c>
      <c r="I109">
        <v>16</v>
      </c>
      <c r="J109">
        <v>241</v>
      </c>
      <c r="K109">
        <v>1</v>
      </c>
    </row>
    <row r="110" spans="1:11" x14ac:dyDescent="0.3">
      <c r="A110">
        <v>51</v>
      </c>
      <c r="B110">
        <v>1</v>
      </c>
      <c r="C110">
        <v>0</v>
      </c>
      <c r="D110">
        <v>1</v>
      </c>
      <c r="E110">
        <v>0</v>
      </c>
      <c r="F110">
        <v>0</v>
      </c>
      <c r="G110">
        <v>0</v>
      </c>
      <c r="H110">
        <v>1</v>
      </c>
      <c r="I110">
        <v>13</v>
      </c>
      <c r="J110">
        <v>212</v>
      </c>
      <c r="K110">
        <v>3</v>
      </c>
    </row>
    <row r="111" spans="1:11" x14ac:dyDescent="0.3">
      <c r="A111">
        <v>53</v>
      </c>
      <c r="B111">
        <v>1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22</v>
      </c>
      <c r="J111">
        <v>221</v>
      </c>
      <c r="K111">
        <v>3</v>
      </c>
    </row>
    <row r="112" spans="1:11" x14ac:dyDescent="0.3">
      <c r="A112">
        <v>52</v>
      </c>
      <c r="B112">
        <v>0</v>
      </c>
      <c r="C112">
        <v>0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12</v>
      </c>
      <c r="J112">
        <v>223</v>
      </c>
      <c r="K112">
        <v>1</v>
      </c>
    </row>
    <row r="113" spans="1:11" x14ac:dyDescent="0.3">
      <c r="A113">
        <v>56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18</v>
      </c>
      <c r="J113">
        <v>187</v>
      </c>
      <c r="K113">
        <v>1</v>
      </c>
    </row>
    <row r="114" spans="1:11" x14ac:dyDescent="0.3">
      <c r="A114">
        <v>45</v>
      </c>
      <c r="B114">
        <v>1</v>
      </c>
      <c r="C114">
        <v>1</v>
      </c>
      <c r="D114">
        <v>1</v>
      </c>
      <c r="E114">
        <v>0</v>
      </c>
      <c r="F114">
        <v>0</v>
      </c>
      <c r="G114">
        <v>1</v>
      </c>
      <c r="H114">
        <v>0</v>
      </c>
      <c r="I114">
        <v>17</v>
      </c>
      <c r="J114">
        <v>207</v>
      </c>
      <c r="K114">
        <v>3</v>
      </c>
    </row>
    <row r="115" spans="1:11" x14ac:dyDescent="0.3">
      <c r="A115">
        <v>48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0</v>
      </c>
      <c r="H115">
        <v>1</v>
      </c>
      <c r="I115">
        <v>16</v>
      </c>
      <c r="J115">
        <v>187</v>
      </c>
      <c r="K115">
        <v>3</v>
      </c>
    </row>
    <row r="116" spans="1:11" x14ac:dyDescent="0.3">
      <c r="A116">
        <v>46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14</v>
      </c>
      <c r="J116">
        <v>200</v>
      </c>
      <c r="K116">
        <v>1</v>
      </c>
    </row>
    <row r="117" spans="1:11" x14ac:dyDescent="0.3">
      <c r="A117">
        <v>61</v>
      </c>
      <c r="B117">
        <v>0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0</v>
      </c>
      <c r="I117">
        <v>17</v>
      </c>
      <c r="J117">
        <v>179</v>
      </c>
      <c r="K117">
        <v>3</v>
      </c>
    </row>
    <row r="118" spans="1:11" x14ac:dyDescent="0.3">
      <c r="A118">
        <v>68</v>
      </c>
      <c r="B118">
        <v>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20</v>
      </c>
      <c r="J118">
        <v>218</v>
      </c>
      <c r="K118">
        <v>3</v>
      </c>
    </row>
    <row r="119" spans="1:11" x14ac:dyDescent="0.3">
      <c r="A119">
        <v>66</v>
      </c>
      <c r="B119">
        <v>1</v>
      </c>
      <c r="C119">
        <v>1</v>
      </c>
      <c r="D119">
        <v>1</v>
      </c>
      <c r="E119">
        <v>0</v>
      </c>
      <c r="F119">
        <v>0</v>
      </c>
      <c r="G119">
        <v>1</v>
      </c>
      <c r="H119">
        <v>1</v>
      </c>
      <c r="I119">
        <v>16</v>
      </c>
      <c r="J119">
        <v>226</v>
      </c>
      <c r="K119">
        <v>3</v>
      </c>
    </row>
    <row r="120" spans="1:11" x14ac:dyDescent="0.3">
      <c r="A120">
        <v>51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0</v>
      </c>
      <c r="H120">
        <v>1</v>
      </c>
      <c r="I120">
        <v>17</v>
      </c>
      <c r="J120">
        <v>215</v>
      </c>
      <c r="K120">
        <v>3</v>
      </c>
    </row>
    <row r="121" spans="1:11" x14ac:dyDescent="0.3">
      <c r="A121">
        <v>50</v>
      </c>
      <c r="B121">
        <v>1</v>
      </c>
      <c r="C121">
        <v>0</v>
      </c>
      <c r="D121">
        <v>1</v>
      </c>
      <c r="E121">
        <v>0</v>
      </c>
      <c r="F121">
        <v>0</v>
      </c>
      <c r="G121">
        <v>1</v>
      </c>
      <c r="H121">
        <v>0</v>
      </c>
      <c r="I121">
        <v>13</v>
      </c>
      <c r="J121">
        <v>242</v>
      </c>
      <c r="K121">
        <v>3</v>
      </c>
    </row>
    <row r="122" spans="1:11" x14ac:dyDescent="0.3">
      <c r="A122">
        <v>33</v>
      </c>
      <c r="B122">
        <v>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19</v>
      </c>
      <c r="J122">
        <v>219</v>
      </c>
      <c r="K122">
        <v>3</v>
      </c>
    </row>
    <row r="123" spans="1:11" x14ac:dyDescent="0.3">
      <c r="A123">
        <v>62</v>
      </c>
      <c r="B123">
        <v>0</v>
      </c>
      <c r="C123">
        <v>1</v>
      </c>
      <c r="D123">
        <v>1</v>
      </c>
      <c r="E123">
        <v>1</v>
      </c>
      <c r="F123">
        <v>1</v>
      </c>
      <c r="G123">
        <v>0</v>
      </c>
      <c r="H123">
        <v>0</v>
      </c>
      <c r="I123">
        <v>8</v>
      </c>
      <c r="J123">
        <v>183</v>
      </c>
      <c r="K123">
        <v>2</v>
      </c>
    </row>
    <row r="124" spans="1:11" x14ac:dyDescent="0.3">
      <c r="A124">
        <v>61</v>
      </c>
      <c r="B124">
        <v>1</v>
      </c>
      <c r="C124">
        <v>0</v>
      </c>
      <c r="D124">
        <v>0</v>
      </c>
      <c r="E124">
        <v>1</v>
      </c>
      <c r="F124">
        <v>1</v>
      </c>
      <c r="G124">
        <v>0</v>
      </c>
      <c r="H124">
        <v>0</v>
      </c>
      <c r="I124">
        <v>11</v>
      </c>
      <c r="J124">
        <v>213</v>
      </c>
      <c r="K124">
        <v>3</v>
      </c>
    </row>
    <row r="125" spans="1:11" x14ac:dyDescent="0.3">
      <c r="A125">
        <v>52</v>
      </c>
      <c r="B125">
        <v>0</v>
      </c>
      <c r="C125">
        <v>0</v>
      </c>
      <c r="D125">
        <v>1</v>
      </c>
      <c r="E125">
        <v>1</v>
      </c>
      <c r="F125">
        <v>0</v>
      </c>
      <c r="G125">
        <v>0</v>
      </c>
      <c r="H125">
        <v>0</v>
      </c>
      <c r="I125">
        <v>12</v>
      </c>
      <c r="J125">
        <v>204</v>
      </c>
      <c r="K125">
        <v>3</v>
      </c>
    </row>
    <row r="126" spans="1:11" x14ac:dyDescent="0.3">
      <c r="A126">
        <v>64</v>
      </c>
      <c r="B126">
        <v>1</v>
      </c>
      <c r="C126">
        <v>1</v>
      </c>
      <c r="D126">
        <v>0</v>
      </c>
      <c r="E126">
        <v>1</v>
      </c>
      <c r="F126">
        <v>0</v>
      </c>
      <c r="G126">
        <v>0</v>
      </c>
      <c r="H126">
        <v>1</v>
      </c>
      <c r="I126">
        <v>13</v>
      </c>
      <c r="J126">
        <v>202</v>
      </c>
      <c r="K126">
        <v>3</v>
      </c>
    </row>
    <row r="127" spans="1:11" x14ac:dyDescent="0.3">
      <c r="A127">
        <v>49</v>
      </c>
      <c r="B127">
        <v>0</v>
      </c>
      <c r="C127">
        <v>0</v>
      </c>
      <c r="D127">
        <v>0</v>
      </c>
      <c r="E127">
        <v>1</v>
      </c>
      <c r="F127">
        <v>1</v>
      </c>
      <c r="G127">
        <v>0</v>
      </c>
      <c r="H127">
        <v>0</v>
      </c>
      <c r="I127">
        <v>19</v>
      </c>
      <c r="J127">
        <v>205</v>
      </c>
      <c r="K127">
        <v>1</v>
      </c>
    </row>
    <row r="128" spans="1:11" x14ac:dyDescent="0.3">
      <c r="A128">
        <v>52</v>
      </c>
      <c r="B128">
        <v>1</v>
      </c>
      <c r="C128">
        <v>1</v>
      </c>
      <c r="D128">
        <v>0</v>
      </c>
      <c r="E128">
        <v>1</v>
      </c>
      <c r="F128">
        <v>1</v>
      </c>
      <c r="G128">
        <v>0</v>
      </c>
      <c r="H128">
        <v>1</v>
      </c>
      <c r="I128">
        <v>12</v>
      </c>
      <c r="J128">
        <v>217</v>
      </c>
      <c r="K128">
        <v>3</v>
      </c>
    </row>
    <row r="129" spans="1:11" x14ac:dyDescent="0.3">
      <c r="A129">
        <v>54</v>
      </c>
      <c r="B129">
        <v>1</v>
      </c>
      <c r="C129">
        <v>1</v>
      </c>
      <c r="D129">
        <v>0</v>
      </c>
      <c r="E129">
        <v>1</v>
      </c>
      <c r="F129">
        <v>0</v>
      </c>
      <c r="G129">
        <v>1</v>
      </c>
      <c r="H129">
        <v>0</v>
      </c>
      <c r="I129">
        <v>13</v>
      </c>
      <c r="J129">
        <v>218</v>
      </c>
      <c r="K129">
        <v>3</v>
      </c>
    </row>
    <row r="130" spans="1:11" x14ac:dyDescent="0.3">
      <c r="A130">
        <v>55</v>
      </c>
      <c r="B130">
        <v>0</v>
      </c>
      <c r="C130">
        <v>1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9</v>
      </c>
      <c r="J130">
        <v>191</v>
      </c>
      <c r="K130">
        <v>2</v>
      </c>
    </row>
    <row r="131" spans="1:11" x14ac:dyDescent="0.3">
      <c r="A131">
        <v>36</v>
      </c>
      <c r="B131">
        <v>1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1</v>
      </c>
      <c r="I131">
        <v>12</v>
      </c>
      <c r="J131">
        <v>211</v>
      </c>
      <c r="K131">
        <v>3</v>
      </c>
    </row>
    <row r="132" spans="1:11" x14ac:dyDescent="0.3">
      <c r="A132">
        <v>42</v>
      </c>
      <c r="B132">
        <v>0</v>
      </c>
      <c r="C132">
        <v>1</v>
      </c>
      <c r="D132">
        <v>0</v>
      </c>
      <c r="E132">
        <v>1</v>
      </c>
      <c r="F132">
        <v>0</v>
      </c>
      <c r="G132">
        <v>0</v>
      </c>
      <c r="H132">
        <v>1</v>
      </c>
      <c r="I132">
        <v>20</v>
      </c>
      <c r="J132">
        <v>192</v>
      </c>
      <c r="K132">
        <v>2</v>
      </c>
    </row>
    <row r="133" spans="1:11" x14ac:dyDescent="0.3">
      <c r="A133">
        <v>37</v>
      </c>
      <c r="B133">
        <v>1</v>
      </c>
      <c r="C133">
        <v>1</v>
      </c>
      <c r="D133">
        <v>1</v>
      </c>
      <c r="E133">
        <v>0</v>
      </c>
      <c r="F133">
        <v>1</v>
      </c>
      <c r="G133">
        <v>0</v>
      </c>
      <c r="H133">
        <v>0</v>
      </c>
      <c r="I133">
        <v>14</v>
      </c>
      <c r="J133">
        <v>194</v>
      </c>
      <c r="K133">
        <v>2</v>
      </c>
    </row>
    <row r="134" spans="1:11" x14ac:dyDescent="0.3">
      <c r="A134">
        <v>53</v>
      </c>
      <c r="B134">
        <v>1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15</v>
      </c>
      <c r="J134">
        <v>210</v>
      </c>
      <c r="K134">
        <v>2</v>
      </c>
    </row>
    <row r="135" spans="1:11" x14ac:dyDescent="0.3">
      <c r="A135">
        <v>57</v>
      </c>
      <c r="B135">
        <v>0</v>
      </c>
      <c r="C135">
        <v>1</v>
      </c>
      <c r="D135">
        <v>1</v>
      </c>
      <c r="E135">
        <v>0</v>
      </c>
      <c r="F135">
        <v>0</v>
      </c>
      <c r="G135">
        <v>0</v>
      </c>
      <c r="H135">
        <v>1</v>
      </c>
      <c r="I135">
        <v>12</v>
      </c>
      <c r="J135">
        <v>200</v>
      </c>
      <c r="K135">
        <v>3</v>
      </c>
    </row>
    <row r="136" spans="1:11" x14ac:dyDescent="0.3">
      <c r="A136">
        <v>57</v>
      </c>
      <c r="B136">
        <v>0</v>
      </c>
      <c r="C136">
        <v>1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19</v>
      </c>
      <c r="J136">
        <v>192</v>
      </c>
      <c r="K136">
        <v>1</v>
      </c>
    </row>
    <row r="137" spans="1:11" x14ac:dyDescent="0.3">
      <c r="A137">
        <v>37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0</v>
      </c>
      <c r="I137">
        <v>15</v>
      </c>
      <c r="J137">
        <v>222</v>
      </c>
      <c r="K137">
        <v>2</v>
      </c>
    </row>
    <row r="138" spans="1:11" x14ac:dyDescent="0.3">
      <c r="A138">
        <v>48</v>
      </c>
      <c r="B138">
        <v>1</v>
      </c>
      <c r="C138">
        <v>0</v>
      </c>
      <c r="D138">
        <v>1</v>
      </c>
      <c r="E138">
        <v>0</v>
      </c>
      <c r="F138">
        <v>0</v>
      </c>
      <c r="G138">
        <v>0</v>
      </c>
      <c r="H138">
        <v>1</v>
      </c>
      <c r="I138">
        <v>12</v>
      </c>
      <c r="J138">
        <v>195</v>
      </c>
      <c r="K138">
        <v>2</v>
      </c>
    </row>
    <row r="139" spans="1:11" x14ac:dyDescent="0.3">
      <c r="A139">
        <v>59</v>
      </c>
      <c r="B139">
        <v>0</v>
      </c>
      <c r="C139">
        <v>1</v>
      </c>
      <c r="D139">
        <v>0</v>
      </c>
      <c r="E139">
        <v>0</v>
      </c>
      <c r="F139">
        <v>1</v>
      </c>
      <c r="G139">
        <v>0</v>
      </c>
      <c r="H139">
        <v>1</v>
      </c>
      <c r="I139">
        <v>15</v>
      </c>
      <c r="J139">
        <v>249</v>
      </c>
      <c r="K139">
        <v>1</v>
      </c>
    </row>
    <row r="140" spans="1:11" x14ac:dyDescent="0.3">
      <c r="A140">
        <v>48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14</v>
      </c>
      <c r="J140">
        <v>227</v>
      </c>
      <c r="K140">
        <v>3</v>
      </c>
    </row>
    <row r="141" spans="1:11" x14ac:dyDescent="0.3">
      <c r="A141">
        <v>41</v>
      </c>
      <c r="B141">
        <v>0</v>
      </c>
      <c r="C141">
        <v>0</v>
      </c>
      <c r="D141">
        <v>0</v>
      </c>
      <c r="E141">
        <v>1</v>
      </c>
      <c r="F141">
        <v>1</v>
      </c>
      <c r="G141">
        <v>0</v>
      </c>
      <c r="H141">
        <v>1</v>
      </c>
      <c r="I141">
        <v>16</v>
      </c>
      <c r="J141">
        <v>201</v>
      </c>
      <c r="K141">
        <v>1</v>
      </c>
    </row>
    <row r="142" spans="1:11" x14ac:dyDescent="0.3">
      <c r="A142">
        <v>51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1</v>
      </c>
      <c r="H142">
        <v>1</v>
      </c>
      <c r="I142">
        <v>14</v>
      </c>
      <c r="J142">
        <v>214</v>
      </c>
      <c r="K142">
        <v>1</v>
      </c>
    </row>
    <row r="143" spans="1:11" x14ac:dyDescent="0.3">
      <c r="A143">
        <v>58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16</v>
      </c>
      <c r="J143">
        <v>177</v>
      </c>
      <c r="K143">
        <v>3</v>
      </c>
    </row>
    <row r="144" spans="1:11" x14ac:dyDescent="0.3">
      <c r="A144">
        <v>51</v>
      </c>
      <c r="B144">
        <v>1</v>
      </c>
      <c r="C144">
        <v>1</v>
      </c>
      <c r="D144">
        <v>1</v>
      </c>
      <c r="E144">
        <v>1</v>
      </c>
      <c r="F144">
        <v>0</v>
      </c>
      <c r="G144">
        <v>1</v>
      </c>
      <c r="H144">
        <v>0</v>
      </c>
      <c r="I144">
        <v>9</v>
      </c>
      <c r="J144">
        <v>224</v>
      </c>
      <c r="K144">
        <v>3</v>
      </c>
    </row>
    <row r="145" spans="1:11" x14ac:dyDescent="0.3">
      <c r="A145">
        <v>55</v>
      </c>
      <c r="B145">
        <v>1</v>
      </c>
      <c r="C145">
        <v>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13</v>
      </c>
      <c r="J145">
        <v>218</v>
      </c>
      <c r="K145">
        <v>3</v>
      </c>
    </row>
    <row r="146" spans="1:11" x14ac:dyDescent="0.3">
      <c r="A146">
        <v>33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13</v>
      </c>
      <c r="J146">
        <v>180</v>
      </c>
      <c r="K146">
        <v>3</v>
      </c>
    </row>
    <row r="147" spans="1:11" x14ac:dyDescent="0.3">
      <c r="A147">
        <v>42</v>
      </c>
      <c r="B147">
        <v>0</v>
      </c>
      <c r="C147">
        <v>1</v>
      </c>
      <c r="D147">
        <v>0</v>
      </c>
      <c r="E147">
        <v>1</v>
      </c>
      <c r="F147">
        <v>0</v>
      </c>
      <c r="G147">
        <v>0</v>
      </c>
      <c r="H147">
        <v>1</v>
      </c>
      <c r="I147">
        <v>16</v>
      </c>
      <c r="J147">
        <v>234</v>
      </c>
      <c r="K147">
        <v>3</v>
      </c>
    </row>
    <row r="148" spans="1:11" x14ac:dyDescent="0.3">
      <c r="A148">
        <v>37</v>
      </c>
      <c r="B148">
        <v>1</v>
      </c>
      <c r="C148">
        <v>0</v>
      </c>
      <c r="D148">
        <v>1</v>
      </c>
      <c r="E148">
        <v>1</v>
      </c>
      <c r="F148">
        <v>0</v>
      </c>
      <c r="G148">
        <v>0</v>
      </c>
      <c r="H148">
        <v>1</v>
      </c>
      <c r="I148">
        <v>18</v>
      </c>
      <c r="J148">
        <v>211</v>
      </c>
      <c r="K148">
        <v>3</v>
      </c>
    </row>
    <row r="149" spans="1:11" x14ac:dyDescent="0.3">
      <c r="A149">
        <v>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14</v>
      </c>
      <c r="J149">
        <v>215</v>
      </c>
      <c r="K149">
        <v>3</v>
      </c>
    </row>
    <row r="150" spans="1:11" x14ac:dyDescent="0.3">
      <c r="A150">
        <v>56</v>
      </c>
      <c r="B150">
        <v>1</v>
      </c>
      <c r="C150">
        <v>1</v>
      </c>
      <c r="D150">
        <v>1</v>
      </c>
      <c r="E150">
        <v>0</v>
      </c>
      <c r="F150">
        <v>0</v>
      </c>
      <c r="G150">
        <v>1</v>
      </c>
      <c r="H150">
        <v>1</v>
      </c>
      <c r="I150">
        <v>15</v>
      </c>
      <c r="J150">
        <v>181</v>
      </c>
      <c r="K150">
        <v>3</v>
      </c>
    </row>
    <row r="151" spans="1:11" x14ac:dyDescent="0.3">
      <c r="A151">
        <v>60</v>
      </c>
      <c r="B151">
        <v>0</v>
      </c>
      <c r="C151">
        <v>1</v>
      </c>
      <c r="D151">
        <v>1</v>
      </c>
      <c r="E151">
        <v>1</v>
      </c>
      <c r="F151">
        <v>0</v>
      </c>
      <c r="G151">
        <v>0</v>
      </c>
      <c r="H151">
        <v>0</v>
      </c>
      <c r="I151">
        <v>15</v>
      </c>
      <c r="J151">
        <v>247</v>
      </c>
      <c r="K151">
        <v>2</v>
      </c>
    </row>
    <row r="152" spans="1:11" x14ac:dyDescent="0.3">
      <c r="A152">
        <v>55</v>
      </c>
      <c r="B152">
        <v>0</v>
      </c>
      <c r="C152">
        <v>1</v>
      </c>
      <c r="D152">
        <v>0</v>
      </c>
      <c r="E152">
        <v>0</v>
      </c>
      <c r="F152">
        <v>1</v>
      </c>
      <c r="G152">
        <v>0</v>
      </c>
      <c r="H152">
        <v>1</v>
      </c>
      <c r="I152">
        <v>17</v>
      </c>
      <c r="J152">
        <v>204</v>
      </c>
      <c r="K152">
        <v>1</v>
      </c>
    </row>
    <row r="153" spans="1:11" x14ac:dyDescent="0.3">
      <c r="A153">
        <v>61</v>
      </c>
      <c r="B153">
        <v>1</v>
      </c>
      <c r="C153">
        <v>1</v>
      </c>
      <c r="D153">
        <v>1</v>
      </c>
      <c r="E153">
        <v>1</v>
      </c>
      <c r="F153">
        <v>0</v>
      </c>
      <c r="G153">
        <v>0</v>
      </c>
      <c r="H153">
        <v>0</v>
      </c>
      <c r="I153">
        <v>18</v>
      </c>
      <c r="J153">
        <v>218</v>
      </c>
      <c r="K153">
        <v>3</v>
      </c>
    </row>
    <row r="154" spans="1:11" x14ac:dyDescent="0.3">
      <c r="A154">
        <v>47</v>
      </c>
      <c r="B154">
        <v>0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0</v>
      </c>
      <c r="I154">
        <v>14</v>
      </c>
      <c r="J154">
        <v>231</v>
      </c>
      <c r="K154">
        <v>1</v>
      </c>
    </row>
    <row r="155" spans="1:11" x14ac:dyDescent="0.3">
      <c r="A155">
        <v>34</v>
      </c>
      <c r="B155">
        <v>1</v>
      </c>
      <c r="C155">
        <v>0</v>
      </c>
      <c r="D155">
        <v>0</v>
      </c>
      <c r="E155">
        <v>1</v>
      </c>
      <c r="F155">
        <v>0</v>
      </c>
      <c r="G155">
        <v>1</v>
      </c>
      <c r="H155">
        <v>1</v>
      </c>
      <c r="I155">
        <v>10</v>
      </c>
      <c r="J155">
        <v>229</v>
      </c>
      <c r="K155">
        <v>2</v>
      </c>
    </row>
    <row r="156" spans="1:11" x14ac:dyDescent="0.3">
      <c r="A156">
        <v>58</v>
      </c>
      <c r="B156">
        <v>1</v>
      </c>
      <c r="C156">
        <v>1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12</v>
      </c>
      <c r="J156">
        <v>225</v>
      </c>
      <c r="K156">
        <v>3</v>
      </c>
    </row>
    <row r="157" spans="1:11" x14ac:dyDescent="0.3">
      <c r="A157">
        <v>50</v>
      </c>
      <c r="B157">
        <v>1</v>
      </c>
      <c r="C157">
        <v>1</v>
      </c>
      <c r="D157">
        <v>1</v>
      </c>
      <c r="E157">
        <v>1</v>
      </c>
      <c r="F157">
        <v>0</v>
      </c>
      <c r="G157">
        <v>0</v>
      </c>
      <c r="H157">
        <v>0</v>
      </c>
      <c r="I157">
        <v>12</v>
      </c>
      <c r="J157">
        <v>207</v>
      </c>
      <c r="K157">
        <v>2</v>
      </c>
    </row>
    <row r="158" spans="1:11" x14ac:dyDescent="0.3">
      <c r="A158">
        <v>41</v>
      </c>
      <c r="B158">
        <v>1</v>
      </c>
      <c r="C158">
        <v>1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13</v>
      </c>
      <c r="J158">
        <v>239</v>
      </c>
      <c r="K158">
        <v>3</v>
      </c>
    </row>
    <row r="159" spans="1:11" x14ac:dyDescent="0.3">
      <c r="A159">
        <v>51</v>
      </c>
      <c r="B159">
        <v>0</v>
      </c>
      <c r="C159">
        <v>0</v>
      </c>
      <c r="D159">
        <v>0</v>
      </c>
      <c r="E159">
        <v>0</v>
      </c>
      <c r="F159">
        <v>1</v>
      </c>
      <c r="G159">
        <v>0</v>
      </c>
      <c r="H159">
        <v>1</v>
      </c>
      <c r="I159">
        <v>19</v>
      </c>
      <c r="J159">
        <v>241</v>
      </c>
      <c r="K159">
        <v>1</v>
      </c>
    </row>
    <row r="160" spans="1:11" x14ac:dyDescent="0.3">
      <c r="A160">
        <v>35</v>
      </c>
      <c r="B160">
        <v>1</v>
      </c>
      <c r="C160">
        <v>1</v>
      </c>
      <c r="D160">
        <v>1</v>
      </c>
      <c r="E160">
        <v>1</v>
      </c>
      <c r="F160">
        <v>0</v>
      </c>
      <c r="G160">
        <v>0</v>
      </c>
      <c r="H160">
        <v>1</v>
      </c>
      <c r="I160">
        <v>17</v>
      </c>
      <c r="J160">
        <v>217</v>
      </c>
      <c r="K160">
        <v>2</v>
      </c>
    </row>
    <row r="161" spans="1:11" x14ac:dyDescent="0.3">
      <c r="A161">
        <v>44</v>
      </c>
      <c r="B161">
        <v>1</v>
      </c>
      <c r="C161">
        <v>1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12</v>
      </c>
      <c r="J161">
        <v>224</v>
      </c>
      <c r="K161">
        <v>3</v>
      </c>
    </row>
    <row r="162" spans="1:11" x14ac:dyDescent="0.3">
      <c r="A162">
        <v>38</v>
      </c>
      <c r="B162">
        <v>1</v>
      </c>
      <c r="C162">
        <v>0</v>
      </c>
      <c r="D162">
        <v>1</v>
      </c>
      <c r="E162">
        <v>0</v>
      </c>
      <c r="F162">
        <v>0</v>
      </c>
      <c r="G162">
        <v>1</v>
      </c>
      <c r="H162">
        <v>1</v>
      </c>
      <c r="I162">
        <v>24</v>
      </c>
      <c r="J162">
        <v>186</v>
      </c>
      <c r="K162">
        <v>2</v>
      </c>
    </row>
    <row r="163" spans="1:11" x14ac:dyDescent="0.3">
      <c r="A163">
        <v>32</v>
      </c>
      <c r="B163">
        <v>0</v>
      </c>
      <c r="C163">
        <v>1</v>
      </c>
      <c r="D163">
        <v>0</v>
      </c>
      <c r="E163">
        <v>0</v>
      </c>
      <c r="F163">
        <v>1</v>
      </c>
      <c r="G163">
        <v>1</v>
      </c>
      <c r="H163">
        <v>1</v>
      </c>
      <c r="I163">
        <v>13</v>
      </c>
      <c r="J163">
        <v>193</v>
      </c>
      <c r="K163">
        <v>1</v>
      </c>
    </row>
    <row r="164" spans="1:11" x14ac:dyDescent="0.3">
      <c r="A164">
        <v>62</v>
      </c>
      <c r="B164">
        <v>1</v>
      </c>
      <c r="C164">
        <v>1</v>
      </c>
      <c r="D164">
        <v>1</v>
      </c>
      <c r="E164">
        <v>1</v>
      </c>
      <c r="F164">
        <v>0</v>
      </c>
      <c r="G164">
        <v>0</v>
      </c>
      <c r="H164">
        <v>0</v>
      </c>
      <c r="I164">
        <v>17</v>
      </c>
      <c r="J164">
        <v>220</v>
      </c>
      <c r="K164">
        <v>3</v>
      </c>
    </row>
    <row r="165" spans="1:11" x14ac:dyDescent="0.3">
      <c r="A165">
        <v>62</v>
      </c>
      <c r="B165">
        <v>1</v>
      </c>
      <c r="C165">
        <v>0</v>
      </c>
      <c r="D165">
        <v>1</v>
      </c>
      <c r="E165">
        <v>1</v>
      </c>
      <c r="F165">
        <v>1</v>
      </c>
      <c r="G165">
        <v>1</v>
      </c>
      <c r="H165">
        <v>0</v>
      </c>
      <c r="I165">
        <v>13</v>
      </c>
      <c r="J165">
        <v>236</v>
      </c>
      <c r="K165">
        <v>3</v>
      </c>
    </row>
    <row r="166" spans="1:11" x14ac:dyDescent="0.3">
      <c r="A166">
        <v>42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14</v>
      </c>
      <c r="J166">
        <v>196</v>
      </c>
      <c r="K166">
        <v>3</v>
      </c>
    </row>
    <row r="167" spans="1:11" x14ac:dyDescent="0.3">
      <c r="A167">
        <v>60</v>
      </c>
      <c r="B167">
        <v>1</v>
      </c>
      <c r="C167">
        <v>1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12</v>
      </c>
      <c r="J167">
        <v>196</v>
      </c>
      <c r="K167">
        <v>3</v>
      </c>
    </row>
    <row r="168" spans="1:11" x14ac:dyDescent="0.3">
      <c r="A168">
        <v>41</v>
      </c>
      <c r="B168">
        <v>1</v>
      </c>
      <c r="C168">
        <v>1</v>
      </c>
      <c r="D168">
        <v>0</v>
      </c>
      <c r="E168">
        <v>1</v>
      </c>
      <c r="F168">
        <v>1</v>
      </c>
      <c r="G168">
        <v>1</v>
      </c>
      <c r="H168">
        <v>1</v>
      </c>
      <c r="I168">
        <v>15</v>
      </c>
      <c r="J168">
        <v>165</v>
      </c>
      <c r="K168">
        <v>3</v>
      </c>
    </row>
    <row r="169" spans="1:11" x14ac:dyDescent="0.3">
      <c r="A169">
        <v>49</v>
      </c>
      <c r="B169">
        <v>1</v>
      </c>
      <c r="C169">
        <v>1</v>
      </c>
      <c r="D169">
        <v>0</v>
      </c>
      <c r="E169">
        <v>0</v>
      </c>
      <c r="F169">
        <v>1</v>
      </c>
      <c r="G169">
        <v>1</v>
      </c>
      <c r="H169">
        <v>0</v>
      </c>
      <c r="I169">
        <v>15</v>
      </c>
      <c r="J169">
        <v>197</v>
      </c>
      <c r="K169">
        <v>2</v>
      </c>
    </row>
    <row r="170" spans="1:11" x14ac:dyDescent="0.3">
      <c r="A170">
        <v>37</v>
      </c>
      <c r="B170">
        <v>0</v>
      </c>
      <c r="C170">
        <v>1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16</v>
      </c>
      <c r="J170">
        <v>207</v>
      </c>
      <c r="K170">
        <v>1</v>
      </c>
    </row>
    <row r="171" spans="1:11" x14ac:dyDescent="0.3">
      <c r="A171">
        <v>68</v>
      </c>
      <c r="B171">
        <v>1</v>
      </c>
      <c r="C171">
        <v>0</v>
      </c>
      <c r="D171">
        <v>1</v>
      </c>
      <c r="E171">
        <v>0</v>
      </c>
      <c r="F171">
        <v>0</v>
      </c>
      <c r="G171">
        <v>1</v>
      </c>
      <c r="H171">
        <v>1</v>
      </c>
      <c r="I171">
        <v>12</v>
      </c>
      <c r="J171">
        <v>222</v>
      </c>
      <c r="K171">
        <v>2</v>
      </c>
    </row>
    <row r="172" spans="1:11" x14ac:dyDescent="0.3">
      <c r="A172">
        <v>58</v>
      </c>
      <c r="B172">
        <v>0</v>
      </c>
      <c r="C172">
        <v>1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13</v>
      </c>
      <c r="J172">
        <v>221</v>
      </c>
      <c r="K172">
        <v>2</v>
      </c>
    </row>
    <row r="173" spans="1:11" x14ac:dyDescent="0.3">
      <c r="A173">
        <v>55</v>
      </c>
      <c r="B173">
        <v>0</v>
      </c>
      <c r="C173">
        <v>1</v>
      </c>
      <c r="D173">
        <v>0</v>
      </c>
      <c r="E173">
        <v>1</v>
      </c>
      <c r="F173">
        <v>0</v>
      </c>
      <c r="G173">
        <v>1</v>
      </c>
      <c r="H173">
        <v>1</v>
      </c>
      <c r="I173">
        <v>11</v>
      </c>
      <c r="J173">
        <v>176</v>
      </c>
      <c r="K173">
        <v>3</v>
      </c>
    </row>
    <row r="174" spans="1:11" x14ac:dyDescent="0.3">
      <c r="A174">
        <v>55</v>
      </c>
      <c r="B174">
        <v>0</v>
      </c>
      <c r="C174">
        <v>1</v>
      </c>
      <c r="D174">
        <v>1</v>
      </c>
      <c r="E174">
        <v>1</v>
      </c>
      <c r="F174">
        <v>0</v>
      </c>
      <c r="G174">
        <v>1</v>
      </c>
      <c r="H174">
        <v>1</v>
      </c>
      <c r="I174">
        <v>16</v>
      </c>
      <c r="J174">
        <v>203</v>
      </c>
      <c r="K174">
        <v>3</v>
      </c>
    </row>
    <row r="175" spans="1:11" x14ac:dyDescent="0.3">
      <c r="A175">
        <v>61</v>
      </c>
      <c r="B175">
        <v>1</v>
      </c>
      <c r="C175">
        <v>0</v>
      </c>
      <c r="D175">
        <v>0</v>
      </c>
      <c r="E175">
        <v>1</v>
      </c>
      <c r="F175">
        <v>1</v>
      </c>
      <c r="G175">
        <v>1</v>
      </c>
      <c r="H175">
        <v>1</v>
      </c>
      <c r="I175">
        <v>12</v>
      </c>
      <c r="J175">
        <v>190</v>
      </c>
      <c r="K175">
        <v>2</v>
      </c>
    </row>
    <row r="176" spans="1:11" x14ac:dyDescent="0.3">
      <c r="A176">
        <v>34</v>
      </c>
      <c r="B176">
        <v>1</v>
      </c>
      <c r="C176">
        <v>1</v>
      </c>
      <c r="D176">
        <v>0</v>
      </c>
      <c r="E176">
        <v>0</v>
      </c>
      <c r="F176">
        <v>0</v>
      </c>
      <c r="G176">
        <v>0</v>
      </c>
      <c r="H176">
        <v>1</v>
      </c>
      <c r="I176">
        <v>12</v>
      </c>
      <c r="J176">
        <v>208</v>
      </c>
      <c r="K176">
        <v>2</v>
      </c>
    </row>
    <row r="177" spans="1:11" x14ac:dyDescent="0.3">
      <c r="A177">
        <v>62</v>
      </c>
      <c r="B177">
        <v>1</v>
      </c>
      <c r="C177">
        <v>1</v>
      </c>
      <c r="D177">
        <v>1</v>
      </c>
      <c r="E177">
        <v>1</v>
      </c>
      <c r="F177">
        <v>0</v>
      </c>
      <c r="G177">
        <v>1</v>
      </c>
      <c r="H177">
        <v>1</v>
      </c>
      <c r="I177">
        <v>13</v>
      </c>
      <c r="J177">
        <v>248</v>
      </c>
      <c r="K177">
        <v>3</v>
      </c>
    </row>
    <row r="178" spans="1:11" x14ac:dyDescent="0.3">
      <c r="A178">
        <v>45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1</v>
      </c>
      <c r="H178">
        <v>1</v>
      </c>
      <c r="I178">
        <v>15</v>
      </c>
      <c r="J178">
        <v>220</v>
      </c>
      <c r="K178">
        <v>1</v>
      </c>
    </row>
    <row r="179" spans="1:11" x14ac:dyDescent="0.3">
      <c r="A179">
        <v>49</v>
      </c>
      <c r="B179">
        <v>1</v>
      </c>
      <c r="C179">
        <v>0</v>
      </c>
      <c r="D179">
        <v>0</v>
      </c>
      <c r="E179">
        <v>1</v>
      </c>
      <c r="F179">
        <v>0</v>
      </c>
      <c r="G179">
        <v>1</v>
      </c>
      <c r="H179">
        <v>1</v>
      </c>
      <c r="I179">
        <v>17</v>
      </c>
      <c r="J179">
        <v>228</v>
      </c>
      <c r="K179">
        <v>2</v>
      </c>
    </row>
    <row r="180" spans="1:11" x14ac:dyDescent="0.3">
      <c r="A180">
        <v>38</v>
      </c>
      <c r="B180">
        <v>0</v>
      </c>
      <c r="C180">
        <v>0</v>
      </c>
      <c r="D180">
        <v>1</v>
      </c>
      <c r="E180">
        <v>1</v>
      </c>
      <c r="F180">
        <v>0</v>
      </c>
      <c r="G180">
        <v>1</v>
      </c>
      <c r="H180">
        <v>0</v>
      </c>
      <c r="I180">
        <v>15</v>
      </c>
      <c r="J180">
        <v>231</v>
      </c>
      <c r="K180">
        <v>3</v>
      </c>
    </row>
    <row r="181" spans="1:11" x14ac:dyDescent="0.3">
      <c r="A181">
        <v>68</v>
      </c>
      <c r="B181">
        <v>1</v>
      </c>
      <c r="C181">
        <v>0</v>
      </c>
      <c r="D181">
        <v>1</v>
      </c>
      <c r="E181">
        <v>1</v>
      </c>
      <c r="F181">
        <v>0</v>
      </c>
      <c r="G181">
        <v>0</v>
      </c>
      <c r="H181">
        <v>1</v>
      </c>
      <c r="I181">
        <v>10</v>
      </c>
      <c r="J181">
        <v>213</v>
      </c>
      <c r="K181">
        <v>3</v>
      </c>
    </row>
    <row r="182" spans="1:11" x14ac:dyDescent="0.3">
      <c r="A182">
        <v>36</v>
      </c>
      <c r="B182">
        <v>0</v>
      </c>
      <c r="C182">
        <v>0</v>
      </c>
      <c r="D182">
        <v>1</v>
      </c>
      <c r="E182">
        <v>1</v>
      </c>
      <c r="F182">
        <v>1</v>
      </c>
      <c r="G182">
        <v>0</v>
      </c>
      <c r="H182">
        <v>1</v>
      </c>
      <c r="I182">
        <v>16</v>
      </c>
      <c r="J182">
        <v>252</v>
      </c>
      <c r="K182">
        <v>3</v>
      </c>
    </row>
    <row r="183" spans="1:11" x14ac:dyDescent="0.3">
      <c r="A183">
        <v>43</v>
      </c>
      <c r="B183">
        <v>0</v>
      </c>
      <c r="C183">
        <v>1</v>
      </c>
      <c r="D183">
        <v>1</v>
      </c>
      <c r="E183">
        <v>1</v>
      </c>
      <c r="F183">
        <v>0</v>
      </c>
      <c r="G183">
        <v>0</v>
      </c>
      <c r="H183">
        <v>0</v>
      </c>
      <c r="I183">
        <v>12</v>
      </c>
      <c r="J183">
        <v>179</v>
      </c>
      <c r="K183">
        <v>1</v>
      </c>
    </row>
    <row r="184" spans="1:11" x14ac:dyDescent="0.3">
      <c r="A184">
        <v>51</v>
      </c>
      <c r="B184">
        <v>0</v>
      </c>
      <c r="C184">
        <v>1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17</v>
      </c>
      <c r="J184">
        <v>222</v>
      </c>
      <c r="K184">
        <v>1</v>
      </c>
    </row>
    <row r="185" spans="1:11" x14ac:dyDescent="0.3">
      <c r="A185">
        <v>49</v>
      </c>
      <c r="B185">
        <v>1</v>
      </c>
      <c r="C185">
        <v>1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14</v>
      </c>
      <c r="J185">
        <v>186</v>
      </c>
      <c r="K185">
        <v>2</v>
      </c>
    </row>
    <row r="186" spans="1:11" x14ac:dyDescent="0.3">
      <c r="A186">
        <v>58</v>
      </c>
      <c r="B186">
        <v>1</v>
      </c>
      <c r="C186">
        <v>1</v>
      </c>
      <c r="D186">
        <v>1</v>
      </c>
      <c r="E186">
        <v>0</v>
      </c>
      <c r="F186">
        <v>0</v>
      </c>
      <c r="G186">
        <v>0</v>
      </c>
      <c r="H186">
        <v>1</v>
      </c>
      <c r="I186">
        <v>14</v>
      </c>
      <c r="J186">
        <v>179</v>
      </c>
      <c r="K186">
        <v>3</v>
      </c>
    </row>
    <row r="187" spans="1:11" x14ac:dyDescent="0.3">
      <c r="A187">
        <v>49</v>
      </c>
      <c r="B187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17</v>
      </c>
      <c r="J187">
        <v>185</v>
      </c>
      <c r="K187">
        <v>3</v>
      </c>
    </row>
    <row r="188" spans="1:11" x14ac:dyDescent="0.3">
      <c r="A188">
        <v>36</v>
      </c>
      <c r="B188">
        <v>1</v>
      </c>
      <c r="C188">
        <v>1</v>
      </c>
      <c r="D188">
        <v>0</v>
      </c>
      <c r="E188">
        <v>1</v>
      </c>
      <c r="F188">
        <v>1</v>
      </c>
      <c r="G188">
        <v>1</v>
      </c>
      <c r="H188">
        <v>1</v>
      </c>
      <c r="I188">
        <v>15</v>
      </c>
      <c r="J188">
        <v>219</v>
      </c>
      <c r="K188">
        <v>3</v>
      </c>
    </row>
    <row r="189" spans="1:11" x14ac:dyDescent="0.3">
      <c r="A189">
        <v>52</v>
      </c>
      <c r="B189">
        <v>1</v>
      </c>
      <c r="C189">
        <v>0</v>
      </c>
      <c r="D189">
        <v>0</v>
      </c>
      <c r="E189">
        <v>1</v>
      </c>
      <c r="F189">
        <v>0</v>
      </c>
      <c r="G189">
        <v>1</v>
      </c>
      <c r="H189">
        <v>0</v>
      </c>
      <c r="I189">
        <v>18</v>
      </c>
      <c r="J189">
        <v>213</v>
      </c>
      <c r="K189">
        <v>2</v>
      </c>
    </row>
    <row r="190" spans="1:11" x14ac:dyDescent="0.3">
      <c r="A190">
        <v>44</v>
      </c>
      <c r="B190">
        <v>1</v>
      </c>
      <c r="C190">
        <v>1</v>
      </c>
      <c r="D190">
        <v>0</v>
      </c>
      <c r="E190">
        <v>1</v>
      </c>
      <c r="F190">
        <v>0</v>
      </c>
      <c r="G190">
        <v>1</v>
      </c>
      <c r="H190">
        <v>0</v>
      </c>
      <c r="I190">
        <v>9</v>
      </c>
      <c r="J190">
        <v>209</v>
      </c>
      <c r="K190">
        <v>2</v>
      </c>
    </row>
    <row r="191" spans="1:11" x14ac:dyDescent="0.3">
      <c r="A191">
        <v>50</v>
      </c>
      <c r="B191">
        <v>1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19</v>
      </c>
      <c r="J191">
        <v>197</v>
      </c>
      <c r="K191">
        <v>3</v>
      </c>
    </row>
    <row r="192" spans="1:11" x14ac:dyDescent="0.3">
      <c r="A192">
        <v>40</v>
      </c>
      <c r="B192">
        <v>0</v>
      </c>
      <c r="C192">
        <v>1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11</v>
      </c>
      <c r="J192">
        <v>186</v>
      </c>
      <c r="K192">
        <v>1</v>
      </c>
    </row>
    <row r="193" spans="1:11" x14ac:dyDescent="0.3">
      <c r="A193">
        <v>21</v>
      </c>
      <c r="B193">
        <v>0</v>
      </c>
      <c r="C193">
        <v>1</v>
      </c>
      <c r="D193">
        <v>0</v>
      </c>
      <c r="E193">
        <v>0</v>
      </c>
      <c r="F193">
        <v>0</v>
      </c>
      <c r="G193">
        <v>0</v>
      </c>
      <c r="H193">
        <v>1</v>
      </c>
      <c r="I193">
        <v>13</v>
      </c>
      <c r="J193">
        <v>207</v>
      </c>
      <c r="K193">
        <v>1</v>
      </c>
    </row>
    <row r="194" spans="1:11" x14ac:dyDescent="0.3">
      <c r="A194">
        <v>50</v>
      </c>
      <c r="B194">
        <v>1</v>
      </c>
      <c r="C194">
        <v>0</v>
      </c>
      <c r="D194">
        <v>0</v>
      </c>
      <c r="E194">
        <v>1</v>
      </c>
      <c r="F194">
        <v>0</v>
      </c>
      <c r="G194">
        <v>1</v>
      </c>
      <c r="H194">
        <v>1</v>
      </c>
      <c r="I194">
        <v>16</v>
      </c>
      <c r="J194">
        <v>225</v>
      </c>
      <c r="K194">
        <v>2</v>
      </c>
    </row>
    <row r="195" spans="1:11" x14ac:dyDescent="0.3">
      <c r="A195">
        <v>25</v>
      </c>
      <c r="B195">
        <v>0</v>
      </c>
      <c r="C195">
        <v>1</v>
      </c>
      <c r="D195">
        <v>1</v>
      </c>
      <c r="E195">
        <v>1</v>
      </c>
      <c r="F195">
        <v>0</v>
      </c>
      <c r="G195">
        <v>0</v>
      </c>
      <c r="H195">
        <v>0</v>
      </c>
      <c r="I195">
        <v>17</v>
      </c>
      <c r="J195">
        <v>185</v>
      </c>
      <c r="K195">
        <v>1</v>
      </c>
    </row>
    <row r="196" spans="1:11" x14ac:dyDescent="0.3">
      <c r="A196">
        <v>52</v>
      </c>
      <c r="B196">
        <v>1</v>
      </c>
      <c r="C196">
        <v>0</v>
      </c>
      <c r="D196">
        <v>1</v>
      </c>
      <c r="E196">
        <v>1</v>
      </c>
      <c r="F196">
        <v>0</v>
      </c>
      <c r="G196">
        <v>0</v>
      </c>
      <c r="H196">
        <v>1</v>
      </c>
      <c r="I196">
        <v>15</v>
      </c>
      <c r="J196">
        <v>203</v>
      </c>
      <c r="K196">
        <v>3</v>
      </c>
    </row>
    <row r="197" spans="1:11" x14ac:dyDescent="0.3">
      <c r="A197">
        <v>42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1</v>
      </c>
      <c r="I197">
        <v>21</v>
      </c>
      <c r="J197">
        <v>200</v>
      </c>
      <c r="K197">
        <v>1</v>
      </c>
    </row>
    <row r="198" spans="1:11" x14ac:dyDescent="0.3">
      <c r="A198">
        <v>48</v>
      </c>
      <c r="B198">
        <v>0</v>
      </c>
      <c r="C198">
        <v>1</v>
      </c>
      <c r="D198">
        <v>1</v>
      </c>
      <c r="E198">
        <v>1</v>
      </c>
      <c r="F198">
        <v>0</v>
      </c>
      <c r="G198">
        <v>0</v>
      </c>
      <c r="H198">
        <v>1</v>
      </c>
      <c r="I198">
        <v>15</v>
      </c>
      <c r="J198">
        <v>227</v>
      </c>
      <c r="K198">
        <v>1</v>
      </c>
    </row>
    <row r="199" spans="1:11" x14ac:dyDescent="0.3">
      <c r="A199">
        <v>46</v>
      </c>
      <c r="B199">
        <v>1</v>
      </c>
      <c r="C199">
        <v>1</v>
      </c>
      <c r="D199">
        <v>0</v>
      </c>
      <c r="E199">
        <v>0</v>
      </c>
      <c r="F199">
        <v>1</v>
      </c>
      <c r="G199">
        <v>0</v>
      </c>
      <c r="H199">
        <v>0</v>
      </c>
      <c r="I199">
        <v>15</v>
      </c>
      <c r="J199">
        <v>188</v>
      </c>
      <c r="K199">
        <v>3</v>
      </c>
    </row>
    <row r="200" spans="1:11" x14ac:dyDescent="0.3">
      <c r="A200">
        <v>52</v>
      </c>
      <c r="B200">
        <v>0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23</v>
      </c>
      <c r="J200">
        <v>233</v>
      </c>
      <c r="K200">
        <v>1</v>
      </c>
    </row>
    <row r="201" spans="1:11" x14ac:dyDescent="0.3">
      <c r="A201">
        <v>15</v>
      </c>
      <c r="B201">
        <v>1</v>
      </c>
      <c r="C201">
        <v>1</v>
      </c>
      <c r="D201">
        <v>0</v>
      </c>
      <c r="E201">
        <v>1</v>
      </c>
      <c r="F201">
        <v>1</v>
      </c>
      <c r="G201">
        <v>0</v>
      </c>
      <c r="H201">
        <v>1</v>
      </c>
      <c r="I201">
        <v>12</v>
      </c>
      <c r="J201">
        <v>249</v>
      </c>
      <c r="K201">
        <v>3</v>
      </c>
    </row>
    <row r="202" spans="1:11" x14ac:dyDescent="0.3">
      <c r="A202">
        <v>60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13</v>
      </c>
      <c r="J202">
        <v>194</v>
      </c>
      <c r="K202">
        <v>1</v>
      </c>
    </row>
    <row r="203" spans="1:11" x14ac:dyDescent="0.3">
      <c r="A203">
        <v>43</v>
      </c>
      <c r="B203">
        <v>0</v>
      </c>
      <c r="C203">
        <v>0</v>
      </c>
      <c r="D203">
        <v>1</v>
      </c>
      <c r="E203">
        <v>1</v>
      </c>
      <c r="F203">
        <v>0</v>
      </c>
      <c r="G203">
        <v>1</v>
      </c>
      <c r="H203">
        <v>0</v>
      </c>
      <c r="I203">
        <v>19</v>
      </c>
      <c r="J203">
        <v>200</v>
      </c>
      <c r="K203">
        <v>3</v>
      </c>
    </row>
    <row r="204" spans="1:11" x14ac:dyDescent="0.3">
      <c r="A204">
        <v>54</v>
      </c>
      <c r="B204">
        <v>0</v>
      </c>
      <c r="C204">
        <v>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19</v>
      </c>
      <c r="J204">
        <v>221</v>
      </c>
      <c r="K204">
        <v>1</v>
      </c>
    </row>
    <row r="205" spans="1:11" x14ac:dyDescent="0.3">
      <c r="A205">
        <v>56</v>
      </c>
      <c r="B205">
        <v>1</v>
      </c>
      <c r="C205">
        <v>0</v>
      </c>
      <c r="D205">
        <v>0</v>
      </c>
      <c r="E205">
        <v>0</v>
      </c>
      <c r="F205">
        <v>0</v>
      </c>
      <c r="G205">
        <v>1</v>
      </c>
      <c r="H205">
        <v>1</v>
      </c>
      <c r="I205">
        <v>13</v>
      </c>
      <c r="J205">
        <v>206</v>
      </c>
      <c r="K205">
        <v>3</v>
      </c>
    </row>
    <row r="206" spans="1:11" x14ac:dyDescent="0.3">
      <c r="A206">
        <v>42</v>
      </c>
      <c r="B206">
        <v>0</v>
      </c>
      <c r="C206">
        <v>1</v>
      </c>
      <c r="D206">
        <v>0</v>
      </c>
      <c r="E206">
        <v>1</v>
      </c>
      <c r="F206">
        <v>0</v>
      </c>
      <c r="G206">
        <v>0</v>
      </c>
      <c r="H206">
        <v>1</v>
      </c>
      <c r="I206">
        <v>15</v>
      </c>
      <c r="J206">
        <v>186</v>
      </c>
      <c r="K206">
        <v>3</v>
      </c>
    </row>
    <row r="207" spans="1:11" x14ac:dyDescent="0.3">
      <c r="A207">
        <v>56</v>
      </c>
      <c r="B207">
        <v>0</v>
      </c>
      <c r="C207">
        <v>1</v>
      </c>
      <c r="D207">
        <v>0</v>
      </c>
      <c r="E207">
        <v>1</v>
      </c>
      <c r="F207">
        <v>1</v>
      </c>
      <c r="G207">
        <v>0</v>
      </c>
      <c r="H207">
        <v>0</v>
      </c>
      <c r="I207">
        <v>18</v>
      </c>
      <c r="J207">
        <v>220</v>
      </c>
      <c r="K207">
        <v>3</v>
      </c>
    </row>
    <row r="208" spans="1:11" x14ac:dyDescent="0.3">
      <c r="A208">
        <v>54</v>
      </c>
      <c r="B208">
        <v>1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18</v>
      </c>
      <c r="J208">
        <v>244</v>
      </c>
      <c r="K208">
        <v>3</v>
      </c>
    </row>
    <row r="209" spans="1:11" x14ac:dyDescent="0.3">
      <c r="A209">
        <v>42</v>
      </c>
      <c r="B209">
        <v>1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25</v>
      </c>
      <c r="J209">
        <v>206</v>
      </c>
      <c r="K209">
        <v>2</v>
      </c>
    </row>
    <row r="210" spans="1:11" x14ac:dyDescent="0.3">
      <c r="A210">
        <v>46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14</v>
      </c>
      <c r="J210">
        <v>194</v>
      </c>
      <c r="K210">
        <v>3</v>
      </c>
    </row>
    <row r="211" spans="1:11" x14ac:dyDescent="0.3">
      <c r="A211">
        <v>35</v>
      </c>
      <c r="B211">
        <v>0</v>
      </c>
      <c r="C211">
        <v>1</v>
      </c>
      <c r="D211">
        <v>1</v>
      </c>
      <c r="E211">
        <v>0</v>
      </c>
      <c r="F211">
        <v>1</v>
      </c>
      <c r="G211">
        <v>0</v>
      </c>
      <c r="H211">
        <v>0</v>
      </c>
      <c r="I211">
        <v>11</v>
      </c>
      <c r="J211">
        <v>177</v>
      </c>
      <c r="K211">
        <v>2</v>
      </c>
    </row>
    <row r="212" spans="1:11" x14ac:dyDescent="0.3">
      <c r="A212">
        <v>47</v>
      </c>
      <c r="B212">
        <v>0</v>
      </c>
      <c r="C212">
        <v>1</v>
      </c>
      <c r="D212">
        <v>0</v>
      </c>
      <c r="E212">
        <v>1</v>
      </c>
      <c r="F212">
        <v>0</v>
      </c>
      <c r="G212">
        <v>0</v>
      </c>
      <c r="H212">
        <v>1</v>
      </c>
      <c r="I212">
        <v>17</v>
      </c>
      <c r="J212">
        <v>178</v>
      </c>
      <c r="K212">
        <v>3</v>
      </c>
    </row>
    <row r="213" spans="1:11" x14ac:dyDescent="0.3">
      <c r="A213">
        <v>38</v>
      </c>
      <c r="B213">
        <v>1</v>
      </c>
      <c r="C213">
        <v>0</v>
      </c>
      <c r="D213">
        <v>1</v>
      </c>
      <c r="E213">
        <v>1</v>
      </c>
      <c r="F213">
        <v>1</v>
      </c>
      <c r="G213">
        <v>0</v>
      </c>
      <c r="H213">
        <v>1</v>
      </c>
      <c r="I213">
        <v>18</v>
      </c>
      <c r="J213">
        <v>209</v>
      </c>
      <c r="K213">
        <v>3</v>
      </c>
    </row>
    <row r="214" spans="1:11" x14ac:dyDescent="0.3">
      <c r="A214">
        <v>39</v>
      </c>
      <c r="B214">
        <v>1</v>
      </c>
      <c r="C214">
        <v>1</v>
      </c>
      <c r="D214">
        <v>1</v>
      </c>
      <c r="E214">
        <v>0</v>
      </c>
      <c r="F214">
        <v>0</v>
      </c>
      <c r="G214">
        <v>1</v>
      </c>
      <c r="H214">
        <v>1</v>
      </c>
      <c r="I214">
        <v>16</v>
      </c>
      <c r="J214">
        <v>214</v>
      </c>
      <c r="K214">
        <v>3</v>
      </c>
    </row>
    <row r="215" spans="1:11" x14ac:dyDescent="0.3">
      <c r="A215">
        <v>57</v>
      </c>
      <c r="B215">
        <v>0</v>
      </c>
      <c r="C215">
        <v>1</v>
      </c>
      <c r="D215">
        <v>1</v>
      </c>
      <c r="E215">
        <v>0</v>
      </c>
      <c r="F215">
        <v>0</v>
      </c>
      <c r="G215">
        <v>0</v>
      </c>
      <c r="H215">
        <v>1</v>
      </c>
      <c r="I215">
        <v>15</v>
      </c>
      <c r="J215">
        <v>197</v>
      </c>
      <c r="K215">
        <v>3</v>
      </c>
    </row>
    <row r="216" spans="1:11" x14ac:dyDescent="0.3">
      <c r="A216">
        <v>28</v>
      </c>
      <c r="B216">
        <v>1</v>
      </c>
      <c r="C216">
        <v>1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16</v>
      </c>
      <c r="J216">
        <v>199</v>
      </c>
      <c r="K216">
        <v>3</v>
      </c>
    </row>
    <row r="217" spans="1:11" x14ac:dyDescent="0.3">
      <c r="A217">
        <v>51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20</v>
      </c>
      <c r="J217">
        <v>223</v>
      </c>
      <c r="K217">
        <v>2</v>
      </c>
    </row>
    <row r="218" spans="1:11" x14ac:dyDescent="0.3">
      <c r="A218">
        <v>49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17</v>
      </c>
      <c r="J218">
        <v>224</v>
      </c>
      <c r="K218">
        <v>1</v>
      </c>
    </row>
    <row r="219" spans="1:11" x14ac:dyDescent="0.3">
      <c r="A219">
        <v>65</v>
      </c>
      <c r="B219">
        <v>1</v>
      </c>
      <c r="C219">
        <v>0</v>
      </c>
      <c r="D219">
        <v>1</v>
      </c>
      <c r="E219">
        <v>0</v>
      </c>
      <c r="F219">
        <v>0</v>
      </c>
      <c r="G219">
        <v>1</v>
      </c>
      <c r="H219">
        <v>1</v>
      </c>
      <c r="I219">
        <v>12</v>
      </c>
      <c r="J219">
        <v>228</v>
      </c>
      <c r="K219">
        <v>2</v>
      </c>
    </row>
    <row r="220" spans="1:11" x14ac:dyDescent="0.3">
      <c r="A220">
        <v>71</v>
      </c>
      <c r="B220">
        <v>0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0</v>
      </c>
      <c r="I220">
        <v>14</v>
      </c>
      <c r="J220">
        <v>203</v>
      </c>
      <c r="K220">
        <v>2</v>
      </c>
    </row>
    <row r="221" spans="1:11" x14ac:dyDescent="0.3">
      <c r="A221">
        <v>54</v>
      </c>
      <c r="B221">
        <v>0</v>
      </c>
      <c r="C221">
        <v>0</v>
      </c>
      <c r="D221">
        <v>1</v>
      </c>
      <c r="E221">
        <v>1</v>
      </c>
      <c r="F221">
        <v>0</v>
      </c>
      <c r="G221">
        <v>1</v>
      </c>
      <c r="H221">
        <v>0</v>
      </c>
      <c r="I221">
        <v>10</v>
      </c>
      <c r="J221">
        <v>224</v>
      </c>
      <c r="K221">
        <v>3</v>
      </c>
    </row>
    <row r="222" spans="1:11" x14ac:dyDescent="0.3">
      <c r="A222">
        <v>55</v>
      </c>
      <c r="B222">
        <v>0</v>
      </c>
      <c r="C222">
        <v>1</v>
      </c>
      <c r="D222">
        <v>0</v>
      </c>
      <c r="E222">
        <v>1</v>
      </c>
      <c r="F222">
        <v>0</v>
      </c>
      <c r="G222">
        <v>0</v>
      </c>
      <c r="H222">
        <v>1</v>
      </c>
      <c r="I222">
        <v>11</v>
      </c>
      <c r="J222">
        <v>203</v>
      </c>
      <c r="K222">
        <v>3</v>
      </c>
    </row>
    <row r="223" spans="1:11" x14ac:dyDescent="0.3">
      <c r="A223">
        <v>42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0</v>
      </c>
      <c r="H223">
        <v>1</v>
      </c>
      <c r="I223">
        <v>22</v>
      </c>
      <c r="J223">
        <v>175</v>
      </c>
      <c r="K223">
        <v>2</v>
      </c>
    </row>
    <row r="224" spans="1:11" x14ac:dyDescent="0.3">
      <c r="A224">
        <v>47</v>
      </c>
      <c r="B224">
        <v>0</v>
      </c>
      <c r="C224">
        <v>1</v>
      </c>
      <c r="D224">
        <v>1</v>
      </c>
      <c r="E224">
        <v>0</v>
      </c>
      <c r="F224">
        <v>0</v>
      </c>
      <c r="G224">
        <v>0</v>
      </c>
      <c r="H224">
        <v>0</v>
      </c>
      <c r="I224">
        <v>16</v>
      </c>
      <c r="J224">
        <v>156</v>
      </c>
      <c r="K224">
        <v>3</v>
      </c>
    </row>
    <row r="225" spans="1:11" x14ac:dyDescent="0.3">
      <c r="A225">
        <v>39</v>
      </c>
      <c r="B225">
        <v>0</v>
      </c>
      <c r="C225">
        <v>0</v>
      </c>
      <c r="D225">
        <v>1</v>
      </c>
      <c r="E225">
        <v>1</v>
      </c>
      <c r="F225">
        <v>0</v>
      </c>
      <c r="G225">
        <v>0</v>
      </c>
      <c r="H225">
        <v>1</v>
      </c>
      <c r="I225">
        <v>15</v>
      </c>
      <c r="J225">
        <v>213</v>
      </c>
      <c r="K225">
        <v>2</v>
      </c>
    </row>
    <row r="226" spans="1:11" x14ac:dyDescent="0.3">
      <c r="A226">
        <v>60</v>
      </c>
      <c r="B226">
        <v>0</v>
      </c>
      <c r="C226">
        <v>0</v>
      </c>
      <c r="D226">
        <v>0</v>
      </c>
      <c r="E226">
        <v>1</v>
      </c>
      <c r="F226">
        <v>1</v>
      </c>
      <c r="G226">
        <v>0</v>
      </c>
      <c r="H226">
        <v>0</v>
      </c>
      <c r="I226">
        <v>14</v>
      </c>
      <c r="J226">
        <v>202</v>
      </c>
      <c r="K226">
        <v>1</v>
      </c>
    </row>
    <row r="227" spans="1:11" x14ac:dyDescent="0.3">
      <c r="A227">
        <v>62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14</v>
      </c>
      <c r="J227">
        <v>195</v>
      </c>
      <c r="K227">
        <v>3</v>
      </c>
    </row>
    <row r="228" spans="1:11" x14ac:dyDescent="0.3">
      <c r="A228">
        <v>52</v>
      </c>
      <c r="B228">
        <v>1</v>
      </c>
      <c r="C228">
        <v>0</v>
      </c>
      <c r="D228">
        <v>1</v>
      </c>
      <c r="E228">
        <v>1</v>
      </c>
      <c r="F228">
        <v>0</v>
      </c>
      <c r="G228">
        <v>1</v>
      </c>
      <c r="H228">
        <v>0</v>
      </c>
      <c r="I228">
        <v>13</v>
      </c>
      <c r="J228">
        <v>225</v>
      </c>
      <c r="K228">
        <v>3</v>
      </c>
    </row>
    <row r="229" spans="1:11" x14ac:dyDescent="0.3">
      <c r="A229">
        <v>48</v>
      </c>
      <c r="B229">
        <v>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1</v>
      </c>
      <c r="I229">
        <v>15</v>
      </c>
      <c r="J229">
        <v>216</v>
      </c>
      <c r="K229">
        <v>3</v>
      </c>
    </row>
    <row r="230" spans="1:11" x14ac:dyDescent="0.3">
      <c r="A230">
        <v>53</v>
      </c>
      <c r="B230">
        <v>0</v>
      </c>
      <c r="C230">
        <v>0</v>
      </c>
      <c r="D230">
        <v>1</v>
      </c>
      <c r="E230">
        <v>1</v>
      </c>
      <c r="F230">
        <v>0</v>
      </c>
      <c r="G230">
        <v>0</v>
      </c>
      <c r="H230">
        <v>0</v>
      </c>
      <c r="I230">
        <v>13</v>
      </c>
      <c r="J230">
        <v>201</v>
      </c>
      <c r="K230">
        <v>3</v>
      </c>
    </row>
    <row r="231" spans="1:11" x14ac:dyDescent="0.3">
      <c r="A231">
        <v>59</v>
      </c>
      <c r="B231">
        <v>1</v>
      </c>
      <c r="C231">
        <v>0</v>
      </c>
      <c r="D231">
        <v>1</v>
      </c>
      <c r="E231">
        <v>1</v>
      </c>
      <c r="F231">
        <v>0</v>
      </c>
      <c r="G231">
        <v>0</v>
      </c>
      <c r="H231">
        <v>0</v>
      </c>
      <c r="I231">
        <v>16</v>
      </c>
      <c r="J231">
        <v>245</v>
      </c>
      <c r="K231">
        <v>3</v>
      </c>
    </row>
    <row r="232" spans="1:11" x14ac:dyDescent="0.3">
      <c r="A232">
        <v>18</v>
      </c>
      <c r="B232">
        <v>1</v>
      </c>
      <c r="C232">
        <v>1</v>
      </c>
      <c r="D232">
        <v>1</v>
      </c>
      <c r="E232">
        <v>1</v>
      </c>
      <c r="F232">
        <v>0</v>
      </c>
      <c r="G232">
        <v>0</v>
      </c>
      <c r="H232">
        <v>1</v>
      </c>
      <c r="I232">
        <v>16</v>
      </c>
      <c r="J232">
        <v>215</v>
      </c>
      <c r="K232">
        <v>2</v>
      </c>
    </row>
    <row r="233" spans="1:11" x14ac:dyDescent="0.3">
      <c r="A233">
        <v>48</v>
      </c>
      <c r="B233">
        <v>1</v>
      </c>
      <c r="C233">
        <v>0</v>
      </c>
      <c r="D233">
        <v>1</v>
      </c>
      <c r="E233">
        <v>0</v>
      </c>
      <c r="F233">
        <v>0</v>
      </c>
      <c r="G233">
        <v>0</v>
      </c>
      <c r="H233">
        <v>1</v>
      </c>
      <c r="I233">
        <v>15</v>
      </c>
      <c r="J233">
        <v>195</v>
      </c>
      <c r="K233">
        <v>3</v>
      </c>
    </row>
    <row r="234" spans="1:11" x14ac:dyDescent="0.3">
      <c r="A234">
        <v>60</v>
      </c>
      <c r="B234">
        <v>1</v>
      </c>
      <c r="C234">
        <v>1</v>
      </c>
      <c r="D234">
        <v>1</v>
      </c>
      <c r="E234">
        <v>1</v>
      </c>
      <c r="F234">
        <v>0</v>
      </c>
      <c r="G234">
        <v>0</v>
      </c>
      <c r="H234">
        <v>0</v>
      </c>
      <c r="I234">
        <v>16</v>
      </c>
      <c r="J234">
        <v>186</v>
      </c>
      <c r="K234">
        <v>3</v>
      </c>
    </row>
    <row r="235" spans="1:11" x14ac:dyDescent="0.3">
      <c r="A235">
        <v>47</v>
      </c>
      <c r="B235">
        <v>0</v>
      </c>
      <c r="C235">
        <v>1</v>
      </c>
      <c r="D235">
        <v>0</v>
      </c>
      <c r="E235">
        <v>0</v>
      </c>
      <c r="F235">
        <v>0</v>
      </c>
      <c r="G235">
        <v>0</v>
      </c>
      <c r="H235">
        <v>1</v>
      </c>
      <c r="I235">
        <v>13</v>
      </c>
      <c r="J235">
        <v>198</v>
      </c>
      <c r="K235">
        <v>1</v>
      </c>
    </row>
    <row r="236" spans="1:11" x14ac:dyDescent="0.3">
      <c r="A236">
        <v>44</v>
      </c>
      <c r="B236">
        <v>1</v>
      </c>
      <c r="C236">
        <v>0</v>
      </c>
      <c r="D236">
        <v>0</v>
      </c>
      <c r="E236">
        <v>1</v>
      </c>
      <c r="F236">
        <v>0</v>
      </c>
      <c r="G236">
        <v>1</v>
      </c>
      <c r="H236">
        <v>1</v>
      </c>
      <c r="I236">
        <v>11</v>
      </c>
      <c r="J236">
        <v>251</v>
      </c>
      <c r="K236">
        <v>3</v>
      </c>
    </row>
    <row r="237" spans="1:11" x14ac:dyDescent="0.3">
      <c r="A237">
        <v>57</v>
      </c>
      <c r="B237">
        <v>0</v>
      </c>
      <c r="C237">
        <v>1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17</v>
      </c>
      <c r="J237">
        <v>252</v>
      </c>
      <c r="K237">
        <v>1</v>
      </c>
    </row>
    <row r="238" spans="1:11" x14ac:dyDescent="0.3">
      <c r="A238">
        <v>66</v>
      </c>
      <c r="B238">
        <v>0</v>
      </c>
      <c r="C238">
        <v>1</v>
      </c>
      <c r="D238">
        <v>1</v>
      </c>
      <c r="E238">
        <v>0</v>
      </c>
      <c r="F238">
        <v>0</v>
      </c>
      <c r="G238">
        <v>0</v>
      </c>
      <c r="H238">
        <v>1</v>
      </c>
      <c r="I238">
        <v>17</v>
      </c>
      <c r="J238">
        <v>231</v>
      </c>
      <c r="K238">
        <v>3</v>
      </c>
    </row>
    <row r="239" spans="1:11" x14ac:dyDescent="0.3">
      <c r="A239">
        <v>39</v>
      </c>
      <c r="B239">
        <v>0</v>
      </c>
      <c r="C239">
        <v>0</v>
      </c>
      <c r="D239">
        <v>1</v>
      </c>
      <c r="E239">
        <v>1</v>
      </c>
      <c r="F239">
        <v>0</v>
      </c>
      <c r="G239">
        <v>0</v>
      </c>
      <c r="H239">
        <v>1</v>
      </c>
      <c r="I239">
        <v>14</v>
      </c>
      <c r="J239">
        <v>212</v>
      </c>
      <c r="K239">
        <v>3</v>
      </c>
    </row>
    <row r="240" spans="1:11" x14ac:dyDescent="0.3">
      <c r="A240">
        <v>45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15</v>
      </c>
      <c r="J240">
        <v>222</v>
      </c>
      <c r="K240">
        <v>1</v>
      </c>
    </row>
    <row r="241" spans="1:11" x14ac:dyDescent="0.3">
      <c r="A241">
        <v>48</v>
      </c>
      <c r="B241">
        <v>1</v>
      </c>
      <c r="C241">
        <v>0</v>
      </c>
      <c r="D241">
        <v>1</v>
      </c>
      <c r="E241">
        <v>1</v>
      </c>
      <c r="F241">
        <v>0</v>
      </c>
      <c r="G241">
        <v>0</v>
      </c>
      <c r="H241">
        <v>0</v>
      </c>
      <c r="I241">
        <v>13</v>
      </c>
      <c r="J241">
        <v>223</v>
      </c>
      <c r="K241">
        <v>3</v>
      </c>
    </row>
    <row r="242" spans="1:11" x14ac:dyDescent="0.3">
      <c r="A242">
        <v>41</v>
      </c>
      <c r="B242">
        <v>0</v>
      </c>
      <c r="C242">
        <v>1</v>
      </c>
      <c r="D242">
        <v>1</v>
      </c>
      <c r="E242">
        <v>1</v>
      </c>
      <c r="F242">
        <v>0</v>
      </c>
      <c r="G242">
        <v>0</v>
      </c>
      <c r="H242">
        <v>1</v>
      </c>
      <c r="I242">
        <v>14</v>
      </c>
      <c r="J242">
        <v>168</v>
      </c>
      <c r="K242">
        <v>1</v>
      </c>
    </row>
    <row r="243" spans="1:11" x14ac:dyDescent="0.3">
      <c r="A243">
        <v>61</v>
      </c>
      <c r="B243">
        <v>0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11</v>
      </c>
      <c r="J243">
        <v>239</v>
      </c>
      <c r="K243">
        <v>2</v>
      </c>
    </row>
    <row r="244" spans="1:11" x14ac:dyDescent="0.3">
      <c r="A244">
        <v>47</v>
      </c>
      <c r="B244">
        <v>0</v>
      </c>
      <c r="C244">
        <v>0</v>
      </c>
      <c r="D244">
        <v>0</v>
      </c>
      <c r="E244">
        <v>1</v>
      </c>
      <c r="F244">
        <v>1</v>
      </c>
      <c r="G244">
        <v>0</v>
      </c>
      <c r="H244">
        <v>0</v>
      </c>
      <c r="I244">
        <v>17</v>
      </c>
      <c r="J244">
        <v>205</v>
      </c>
      <c r="K244">
        <v>1</v>
      </c>
    </row>
    <row r="245" spans="1:11" x14ac:dyDescent="0.3">
      <c r="A245">
        <v>33</v>
      </c>
      <c r="B245">
        <v>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1</v>
      </c>
      <c r="I245">
        <v>17</v>
      </c>
      <c r="J245">
        <v>208</v>
      </c>
      <c r="K245">
        <v>3</v>
      </c>
    </row>
    <row r="246" spans="1:11" x14ac:dyDescent="0.3">
      <c r="A246">
        <v>58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1</v>
      </c>
      <c r="H246">
        <v>1</v>
      </c>
      <c r="I246">
        <v>14</v>
      </c>
      <c r="J246">
        <v>218</v>
      </c>
      <c r="K246">
        <v>1</v>
      </c>
    </row>
    <row r="247" spans="1:11" x14ac:dyDescent="0.3">
      <c r="A247">
        <v>68</v>
      </c>
      <c r="B247">
        <v>1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1</v>
      </c>
      <c r="I247">
        <v>11</v>
      </c>
      <c r="J247">
        <v>200</v>
      </c>
      <c r="K247">
        <v>3</v>
      </c>
    </row>
    <row r="248" spans="1:11" x14ac:dyDescent="0.3">
      <c r="A248">
        <v>48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1</v>
      </c>
      <c r="I248">
        <v>17</v>
      </c>
      <c r="J248">
        <v>179</v>
      </c>
      <c r="K248">
        <v>1</v>
      </c>
    </row>
    <row r="249" spans="1:11" x14ac:dyDescent="0.3">
      <c r="A249">
        <v>55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0</v>
      </c>
      <c r="I249">
        <v>20</v>
      </c>
      <c r="J249">
        <v>184</v>
      </c>
      <c r="K249">
        <v>3</v>
      </c>
    </row>
    <row r="250" spans="1:11" x14ac:dyDescent="0.3">
      <c r="A250">
        <v>47</v>
      </c>
      <c r="B250">
        <v>0</v>
      </c>
      <c r="C250">
        <v>1</v>
      </c>
      <c r="D250">
        <v>1</v>
      </c>
      <c r="E250">
        <v>0</v>
      </c>
      <c r="F250">
        <v>1</v>
      </c>
      <c r="G250">
        <v>0</v>
      </c>
      <c r="H250">
        <v>0</v>
      </c>
      <c r="I250">
        <v>18</v>
      </c>
      <c r="J250">
        <v>196</v>
      </c>
      <c r="K250">
        <v>3</v>
      </c>
    </row>
    <row r="251" spans="1:11" x14ac:dyDescent="0.3">
      <c r="A251">
        <v>50</v>
      </c>
      <c r="B251">
        <v>1</v>
      </c>
      <c r="C251">
        <v>1</v>
      </c>
      <c r="D251">
        <v>0</v>
      </c>
      <c r="E251">
        <v>0</v>
      </c>
      <c r="F251">
        <v>1</v>
      </c>
      <c r="G251">
        <v>0</v>
      </c>
      <c r="H251">
        <v>0</v>
      </c>
      <c r="I251">
        <v>12</v>
      </c>
      <c r="J251">
        <v>230</v>
      </c>
      <c r="K251">
        <v>2</v>
      </c>
    </row>
    <row r="252" spans="1:11" x14ac:dyDescent="0.3">
      <c r="A252">
        <v>49</v>
      </c>
      <c r="B252">
        <v>1</v>
      </c>
      <c r="C252">
        <v>0</v>
      </c>
      <c r="D252">
        <v>1</v>
      </c>
      <c r="E252">
        <v>1</v>
      </c>
      <c r="F252">
        <v>0</v>
      </c>
      <c r="G252">
        <v>1</v>
      </c>
      <c r="H252">
        <v>0</v>
      </c>
      <c r="I252">
        <v>10</v>
      </c>
      <c r="J252">
        <v>210</v>
      </c>
      <c r="K252">
        <v>3</v>
      </c>
    </row>
    <row r="253" spans="1:11" x14ac:dyDescent="0.3">
      <c r="A253">
        <v>50</v>
      </c>
      <c r="B253">
        <v>1</v>
      </c>
      <c r="C253">
        <v>1</v>
      </c>
      <c r="D253">
        <v>0</v>
      </c>
      <c r="E253">
        <v>0</v>
      </c>
      <c r="F253">
        <v>0</v>
      </c>
      <c r="G253">
        <v>1</v>
      </c>
      <c r="H253">
        <v>1</v>
      </c>
      <c r="I253">
        <v>14</v>
      </c>
      <c r="J253">
        <v>217</v>
      </c>
      <c r="K253">
        <v>2</v>
      </c>
    </row>
    <row r="254" spans="1:11" x14ac:dyDescent="0.3">
      <c r="A254">
        <v>54</v>
      </c>
      <c r="B254">
        <v>0</v>
      </c>
      <c r="C254">
        <v>0</v>
      </c>
      <c r="D254">
        <v>1</v>
      </c>
      <c r="E254">
        <v>1</v>
      </c>
      <c r="F254">
        <v>0</v>
      </c>
      <c r="G254">
        <v>1</v>
      </c>
      <c r="H254">
        <v>1</v>
      </c>
      <c r="I254">
        <v>21</v>
      </c>
      <c r="J254">
        <v>195</v>
      </c>
      <c r="K254">
        <v>3</v>
      </c>
    </row>
    <row r="255" spans="1:11" x14ac:dyDescent="0.3">
      <c r="A255">
        <v>77</v>
      </c>
      <c r="B255">
        <v>0</v>
      </c>
      <c r="C255">
        <v>1</v>
      </c>
      <c r="D255">
        <v>1</v>
      </c>
      <c r="E255">
        <v>0</v>
      </c>
      <c r="F255">
        <v>1</v>
      </c>
      <c r="G255">
        <v>1</v>
      </c>
      <c r="H255">
        <v>0</v>
      </c>
      <c r="I255">
        <v>13</v>
      </c>
      <c r="J255">
        <v>200</v>
      </c>
      <c r="K255">
        <v>3</v>
      </c>
    </row>
    <row r="256" spans="1:11" x14ac:dyDescent="0.3">
      <c r="A256">
        <v>48</v>
      </c>
      <c r="B256">
        <v>0</v>
      </c>
      <c r="C256">
        <v>0</v>
      </c>
      <c r="D256">
        <v>1</v>
      </c>
      <c r="E256">
        <v>1</v>
      </c>
      <c r="F256">
        <v>0</v>
      </c>
      <c r="G256">
        <v>1</v>
      </c>
      <c r="H256">
        <v>1</v>
      </c>
      <c r="I256">
        <v>10</v>
      </c>
      <c r="J256">
        <v>195</v>
      </c>
      <c r="K256">
        <v>2</v>
      </c>
    </row>
    <row r="257" spans="1:11" x14ac:dyDescent="0.3">
      <c r="A257">
        <v>55</v>
      </c>
      <c r="B257">
        <v>0</v>
      </c>
      <c r="C257">
        <v>0</v>
      </c>
      <c r="D257">
        <v>1</v>
      </c>
      <c r="E257">
        <v>0</v>
      </c>
      <c r="F257">
        <v>1</v>
      </c>
      <c r="G257">
        <v>0</v>
      </c>
      <c r="H257">
        <v>0</v>
      </c>
      <c r="I257">
        <v>19</v>
      </c>
      <c r="J257">
        <v>193</v>
      </c>
      <c r="K257">
        <v>1</v>
      </c>
    </row>
    <row r="258" spans="1:11" x14ac:dyDescent="0.3">
      <c r="A258">
        <v>27</v>
      </c>
      <c r="B258">
        <v>1</v>
      </c>
      <c r="C258">
        <v>1</v>
      </c>
      <c r="D258">
        <v>0</v>
      </c>
      <c r="E258">
        <v>0</v>
      </c>
      <c r="F258">
        <v>0</v>
      </c>
      <c r="G258">
        <v>0</v>
      </c>
      <c r="H258">
        <v>1</v>
      </c>
      <c r="I258">
        <v>16</v>
      </c>
      <c r="J258">
        <v>202</v>
      </c>
      <c r="K258">
        <v>1</v>
      </c>
    </row>
    <row r="259" spans="1:11" x14ac:dyDescent="0.3">
      <c r="A259">
        <v>58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1</v>
      </c>
      <c r="H259">
        <v>0</v>
      </c>
      <c r="I259">
        <v>13</v>
      </c>
      <c r="J259">
        <v>177</v>
      </c>
      <c r="K259">
        <v>1</v>
      </c>
    </row>
    <row r="260" spans="1:11" x14ac:dyDescent="0.3">
      <c r="A260">
        <v>57</v>
      </c>
      <c r="B260">
        <v>1</v>
      </c>
      <c r="C260">
        <v>1</v>
      </c>
      <c r="D260">
        <v>0</v>
      </c>
      <c r="E260">
        <v>0</v>
      </c>
      <c r="F260">
        <v>1</v>
      </c>
      <c r="G260">
        <v>0</v>
      </c>
      <c r="H260">
        <v>0</v>
      </c>
      <c r="I260">
        <v>13</v>
      </c>
      <c r="J260">
        <v>211</v>
      </c>
      <c r="K260">
        <v>2</v>
      </c>
    </row>
    <row r="261" spans="1:11" x14ac:dyDescent="0.3">
      <c r="A261">
        <v>48</v>
      </c>
      <c r="B261">
        <v>0</v>
      </c>
      <c r="C261">
        <v>1</v>
      </c>
      <c r="D261">
        <v>1</v>
      </c>
      <c r="E261">
        <v>1</v>
      </c>
      <c r="F261">
        <v>0</v>
      </c>
      <c r="G261">
        <v>0</v>
      </c>
      <c r="H261">
        <v>1</v>
      </c>
      <c r="I261">
        <v>17</v>
      </c>
      <c r="J261">
        <v>225</v>
      </c>
      <c r="K261">
        <v>1</v>
      </c>
    </row>
    <row r="262" spans="1:11" x14ac:dyDescent="0.3">
      <c r="A262">
        <v>55</v>
      </c>
      <c r="B262">
        <v>0</v>
      </c>
      <c r="C262">
        <v>1</v>
      </c>
      <c r="D262">
        <v>0</v>
      </c>
      <c r="E262">
        <v>0</v>
      </c>
      <c r="F262">
        <v>0</v>
      </c>
      <c r="G262">
        <v>0</v>
      </c>
      <c r="H262">
        <v>1</v>
      </c>
      <c r="I262">
        <v>15</v>
      </c>
      <c r="J262">
        <v>225</v>
      </c>
      <c r="K262">
        <v>1</v>
      </c>
    </row>
    <row r="263" spans="1:11" x14ac:dyDescent="0.3">
      <c r="A263">
        <v>38</v>
      </c>
      <c r="B263">
        <v>1</v>
      </c>
      <c r="C263">
        <v>0</v>
      </c>
      <c r="D263">
        <v>1</v>
      </c>
      <c r="E263">
        <v>1</v>
      </c>
      <c r="F263">
        <v>0</v>
      </c>
      <c r="G263">
        <v>0</v>
      </c>
      <c r="H263">
        <v>1</v>
      </c>
      <c r="I263">
        <v>17</v>
      </c>
      <c r="J263">
        <v>194</v>
      </c>
      <c r="K263">
        <v>3</v>
      </c>
    </row>
    <row r="264" spans="1:11" x14ac:dyDescent="0.3">
      <c r="A264">
        <v>67</v>
      </c>
      <c r="B264">
        <v>1</v>
      </c>
      <c r="C264">
        <v>1</v>
      </c>
      <c r="D264">
        <v>1</v>
      </c>
      <c r="E264">
        <v>1</v>
      </c>
      <c r="F264">
        <v>0</v>
      </c>
      <c r="G264">
        <v>1</v>
      </c>
      <c r="H264">
        <v>1</v>
      </c>
      <c r="I264">
        <v>13</v>
      </c>
      <c r="J264">
        <v>207</v>
      </c>
      <c r="K264">
        <v>3</v>
      </c>
    </row>
    <row r="265" spans="1:11" x14ac:dyDescent="0.3">
      <c r="A265">
        <v>38</v>
      </c>
      <c r="B265">
        <v>1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1</v>
      </c>
      <c r="I265">
        <v>16</v>
      </c>
      <c r="J265">
        <v>208</v>
      </c>
      <c r="K265">
        <v>3</v>
      </c>
    </row>
    <row r="266" spans="1:11" x14ac:dyDescent="0.3">
      <c r="A266">
        <v>40</v>
      </c>
      <c r="B266">
        <v>0</v>
      </c>
      <c r="C266">
        <v>1</v>
      </c>
      <c r="D266">
        <v>0</v>
      </c>
      <c r="E266">
        <v>1</v>
      </c>
      <c r="F266">
        <v>0</v>
      </c>
      <c r="G266">
        <v>1</v>
      </c>
      <c r="H266">
        <v>0</v>
      </c>
      <c r="I266">
        <v>12</v>
      </c>
      <c r="J266">
        <v>229</v>
      </c>
      <c r="K266">
        <v>3</v>
      </c>
    </row>
    <row r="267" spans="1:11" x14ac:dyDescent="0.3">
      <c r="A267">
        <v>35</v>
      </c>
      <c r="B267">
        <v>1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1</v>
      </c>
      <c r="I267">
        <v>13</v>
      </c>
      <c r="J267">
        <v>196</v>
      </c>
      <c r="K267">
        <v>2</v>
      </c>
    </row>
    <row r="268" spans="1:11" x14ac:dyDescent="0.3">
      <c r="A268">
        <v>52</v>
      </c>
      <c r="B268">
        <v>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1</v>
      </c>
      <c r="I268">
        <v>18</v>
      </c>
      <c r="J268">
        <v>204</v>
      </c>
      <c r="K268">
        <v>3</v>
      </c>
    </row>
    <row r="269" spans="1:11" x14ac:dyDescent="0.3">
      <c r="A269">
        <v>44</v>
      </c>
      <c r="B269">
        <v>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1</v>
      </c>
      <c r="I269">
        <v>18</v>
      </c>
      <c r="J269">
        <v>210</v>
      </c>
      <c r="K269">
        <v>3</v>
      </c>
    </row>
    <row r="270" spans="1:11" x14ac:dyDescent="0.3">
      <c r="A270">
        <v>48</v>
      </c>
      <c r="B270">
        <v>1</v>
      </c>
      <c r="C270">
        <v>1</v>
      </c>
      <c r="D270">
        <v>0</v>
      </c>
      <c r="E270">
        <v>1</v>
      </c>
      <c r="F270">
        <v>0</v>
      </c>
      <c r="G270">
        <v>0</v>
      </c>
      <c r="H270">
        <v>1</v>
      </c>
      <c r="I270">
        <v>16</v>
      </c>
      <c r="J270">
        <v>204</v>
      </c>
      <c r="K270">
        <v>3</v>
      </c>
    </row>
    <row r="271" spans="1:11" x14ac:dyDescent="0.3">
      <c r="A271">
        <v>54</v>
      </c>
      <c r="B271">
        <v>0</v>
      </c>
      <c r="C271">
        <v>0</v>
      </c>
      <c r="D271">
        <v>1</v>
      </c>
      <c r="E271">
        <v>1</v>
      </c>
      <c r="F271">
        <v>0</v>
      </c>
      <c r="G271">
        <v>0</v>
      </c>
      <c r="H271">
        <v>0</v>
      </c>
      <c r="I271">
        <v>10</v>
      </c>
      <c r="J271">
        <v>206</v>
      </c>
      <c r="K271">
        <v>3</v>
      </c>
    </row>
    <row r="272" spans="1:11" x14ac:dyDescent="0.3">
      <c r="A272">
        <v>42</v>
      </c>
      <c r="B272">
        <v>0</v>
      </c>
      <c r="C272">
        <v>0</v>
      </c>
      <c r="D272">
        <v>1</v>
      </c>
      <c r="E272">
        <v>1</v>
      </c>
      <c r="F272">
        <v>0</v>
      </c>
      <c r="G272">
        <v>0</v>
      </c>
      <c r="H272">
        <v>1</v>
      </c>
      <c r="I272">
        <v>15</v>
      </c>
      <c r="J272">
        <v>193</v>
      </c>
      <c r="K272">
        <v>3</v>
      </c>
    </row>
    <row r="273" spans="1:11" x14ac:dyDescent="0.3">
      <c r="A273">
        <v>40</v>
      </c>
      <c r="B273">
        <v>0</v>
      </c>
      <c r="C273">
        <v>1</v>
      </c>
      <c r="D273">
        <v>1</v>
      </c>
      <c r="E273">
        <v>1</v>
      </c>
      <c r="F273">
        <v>1</v>
      </c>
      <c r="G273">
        <v>0</v>
      </c>
      <c r="H273">
        <v>1</v>
      </c>
      <c r="I273">
        <v>13</v>
      </c>
      <c r="J273">
        <v>231</v>
      </c>
      <c r="K273">
        <v>1</v>
      </c>
    </row>
    <row r="274" spans="1:11" x14ac:dyDescent="0.3">
      <c r="A274">
        <v>52</v>
      </c>
      <c r="B274">
        <v>0</v>
      </c>
      <c r="C274">
        <v>1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16</v>
      </c>
      <c r="J274">
        <v>208</v>
      </c>
      <c r="K274">
        <v>2</v>
      </c>
    </row>
    <row r="275" spans="1:11" x14ac:dyDescent="0.3">
      <c r="A275">
        <v>55</v>
      </c>
      <c r="B275">
        <v>1</v>
      </c>
      <c r="C275">
        <v>0</v>
      </c>
      <c r="D275">
        <v>1</v>
      </c>
      <c r="E275">
        <v>1</v>
      </c>
      <c r="F275">
        <v>0</v>
      </c>
      <c r="G275">
        <v>0</v>
      </c>
      <c r="H275">
        <v>0</v>
      </c>
      <c r="I275">
        <v>11</v>
      </c>
      <c r="J275">
        <v>226</v>
      </c>
      <c r="K275">
        <v>3</v>
      </c>
    </row>
    <row r="276" spans="1:11" x14ac:dyDescent="0.3">
      <c r="A276">
        <v>46</v>
      </c>
      <c r="B276">
        <v>0</v>
      </c>
      <c r="C276">
        <v>1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12</v>
      </c>
      <c r="J276">
        <v>224</v>
      </c>
      <c r="K276">
        <v>3</v>
      </c>
    </row>
    <row r="277" spans="1:11" x14ac:dyDescent="0.3">
      <c r="A277">
        <v>38</v>
      </c>
      <c r="B277">
        <v>0</v>
      </c>
      <c r="C277">
        <v>1</v>
      </c>
      <c r="D277">
        <v>1</v>
      </c>
      <c r="E277">
        <v>1</v>
      </c>
      <c r="F277">
        <v>0</v>
      </c>
      <c r="G277">
        <v>0</v>
      </c>
      <c r="H277">
        <v>0</v>
      </c>
      <c r="I277">
        <v>19</v>
      </c>
      <c r="J277">
        <v>195</v>
      </c>
      <c r="K277">
        <v>1</v>
      </c>
    </row>
    <row r="278" spans="1:11" x14ac:dyDescent="0.3">
      <c r="A278">
        <v>63</v>
      </c>
      <c r="B278">
        <v>0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0</v>
      </c>
      <c r="I278">
        <v>14</v>
      </c>
      <c r="J278">
        <v>204</v>
      </c>
      <c r="K278">
        <v>2</v>
      </c>
    </row>
    <row r="279" spans="1:11" x14ac:dyDescent="0.3">
      <c r="A279">
        <v>49</v>
      </c>
      <c r="B279">
        <v>0</v>
      </c>
      <c r="C279">
        <v>1</v>
      </c>
      <c r="D279">
        <v>0</v>
      </c>
      <c r="E279">
        <v>1</v>
      </c>
      <c r="F279">
        <v>1</v>
      </c>
      <c r="G279">
        <v>1</v>
      </c>
      <c r="H279">
        <v>1</v>
      </c>
      <c r="I279">
        <v>12</v>
      </c>
      <c r="J279">
        <v>179</v>
      </c>
      <c r="K279">
        <v>2</v>
      </c>
    </row>
    <row r="280" spans="1:11" x14ac:dyDescent="0.3">
      <c r="A280">
        <v>47</v>
      </c>
      <c r="B280">
        <v>0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0</v>
      </c>
      <c r="I280">
        <v>15</v>
      </c>
      <c r="J280">
        <v>218</v>
      </c>
      <c r="K280">
        <v>3</v>
      </c>
    </row>
    <row r="281" spans="1:11" x14ac:dyDescent="0.3">
      <c r="A281">
        <v>53</v>
      </c>
      <c r="B281">
        <v>0</v>
      </c>
      <c r="C281">
        <v>0</v>
      </c>
      <c r="D281">
        <v>1</v>
      </c>
      <c r="E281">
        <v>0</v>
      </c>
      <c r="F281">
        <v>1</v>
      </c>
      <c r="G281">
        <v>1</v>
      </c>
      <c r="H281">
        <v>0</v>
      </c>
      <c r="I281">
        <v>17</v>
      </c>
      <c r="J281">
        <v>200</v>
      </c>
      <c r="K281">
        <v>1</v>
      </c>
    </row>
    <row r="282" spans="1:11" x14ac:dyDescent="0.3">
      <c r="A282">
        <v>51</v>
      </c>
      <c r="B282">
        <v>1</v>
      </c>
      <c r="C282">
        <v>0</v>
      </c>
      <c r="D282">
        <v>1</v>
      </c>
      <c r="E282">
        <v>1</v>
      </c>
      <c r="F282">
        <v>1</v>
      </c>
      <c r="G282">
        <v>0</v>
      </c>
      <c r="H282">
        <v>0</v>
      </c>
      <c r="I282">
        <v>20</v>
      </c>
      <c r="J282">
        <v>206</v>
      </c>
      <c r="K282">
        <v>3</v>
      </c>
    </row>
    <row r="283" spans="1:11" x14ac:dyDescent="0.3">
      <c r="A283">
        <v>67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14</v>
      </c>
      <c r="J283">
        <v>241</v>
      </c>
      <c r="K283">
        <v>3</v>
      </c>
    </row>
    <row r="284" spans="1:11" x14ac:dyDescent="0.3">
      <c r="A284">
        <v>50</v>
      </c>
      <c r="B284">
        <v>1</v>
      </c>
      <c r="C284">
        <v>0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15</v>
      </c>
      <c r="J284">
        <v>196</v>
      </c>
      <c r="K284">
        <v>3</v>
      </c>
    </row>
    <row r="285" spans="1:11" x14ac:dyDescent="0.3">
      <c r="A285">
        <v>30</v>
      </c>
      <c r="B285">
        <v>1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17</v>
      </c>
      <c r="J285">
        <v>219</v>
      </c>
      <c r="K285">
        <v>1</v>
      </c>
    </row>
    <row r="286" spans="1:11" x14ac:dyDescent="0.3">
      <c r="A286">
        <v>35</v>
      </c>
      <c r="B286">
        <v>1</v>
      </c>
      <c r="C286">
        <v>0</v>
      </c>
      <c r="D286">
        <v>0</v>
      </c>
      <c r="E286">
        <v>1</v>
      </c>
      <c r="F286">
        <v>0</v>
      </c>
      <c r="G286">
        <v>1</v>
      </c>
      <c r="H286">
        <v>1</v>
      </c>
      <c r="I286">
        <v>9</v>
      </c>
      <c r="J286">
        <v>223</v>
      </c>
      <c r="K286">
        <v>2</v>
      </c>
    </row>
    <row r="287" spans="1:11" x14ac:dyDescent="0.3">
      <c r="A287">
        <v>74</v>
      </c>
      <c r="B287">
        <v>1</v>
      </c>
      <c r="C287">
        <v>1</v>
      </c>
      <c r="D287">
        <v>0</v>
      </c>
      <c r="E287">
        <v>0</v>
      </c>
      <c r="F287">
        <v>0</v>
      </c>
      <c r="G287">
        <v>1</v>
      </c>
      <c r="H287">
        <v>1</v>
      </c>
      <c r="I287">
        <v>15</v>
      </c>
      <c r="J287">
        <v>232</v>
      </c>
      <c r="K287">
        <v>3</v>
      </c>
    </row>
    <row r="288" spans="1:11" x14ac:dyDescent="0.3">
      <c r="A288">
        <v>46</v>
      </c>
      <c r="B288">
        <v>0</v>
      </c>
      <c r="C288">
        <v>1</v>
      </c>
      <c r="D288">
        <v>0</v>
      </c>
      <c r="E288">
        <v>0</v>
      </c>
      <c r="F288">
        <v>0</v>
      </c>
      <c r="G288">
        <v>0</v>
      </c>
      <c r="H288">
        <v>1</v>
      </c>
      <c r="I288">
        <v>13</v>
      </c>
      <c r="J288">
        <v>221</v>
      </c>
      <c r="K288">
        <v>1</v>
      </c>
    </row>
    <row r="289" spans="1:11" x14ac:dyDescent="0.3">
      <c r="A289">
        <v>55</v>
      </c>
      <c r="B289">
        <v>0</v>
      </c>
      <c r="C289">
        <v>1</v>
      </c>
      <c r="D289">
        <v>1</v>
      </c>
      <c r="E289">
        <v>1</v>
      </c>
      <c r="F289">
        <v>1</v>
      </c>
      <c r="G289">
        <v>0</v>
      </c>
      <c r="H289">
        <v>1</v>
      </c>
      <c r="I289">
        <v>18</v>
      </c>
      <c r="J289">
        <v>204</v>
      </c>
      <c r="K289">
        <v>3</v>
      </c>
    </row>
    <row r="290" spans="1:11" x14ac:dyDescent="0.3">
      <c r="A290">
        <v>56</v>
      </c>
      <c r="B290">
        <v>1</v>
      </c>
      <c r="C290">
        <v>1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17</v>
      </c>
      <c r="J290">
        <v>233</v>
      </c>
      <c r="K290">
        <v>3</v>
      </c>
    </row>
    <row r="291" spans="1:11" x14ac:dyDescent="0.3">
      <c r="A291">
        <v>53</v>
      </c>
      <c r="B291">
        <v>1</v>
      </c>
      <c r="C291">
        <v>0</v>
      </c>
      <c r="D291">
        <v>1</v>
      </c>
      <c r="E291">
        <v>1</v>
      </c>
      <c r="F291">
        <v>0</v>
      </c>
      <c r="G291">
        <v>0</v>
      </c>
      <c r="H291">
        <v>0</v>
      </c>
      <c r="I291">
        <v>15</v>
      </c>
      <c r="J291">
        <v>221</v>
      </c>
      <c r="K291">
        <v>3</v>
      </c>
    </row>
    <row r="292" spans="1:11" x14ac:dyDescent="0.3">
      <c r="A292">
        <v>58</v>
      </c>
      <c r="B292">
        <v>0</v>
      </c>
      <c r="C292">
        <v>1</v>
      </c>
      <c r="D292">
        <v>1</v>
      </c>
      <c r="E292">
        <v>1</v>
      </c>
      <c r="F292">
        <v>0</v>
      </c>
      <c r="G292">
        <v>0</v>
      </c>
      <c r="H292">
        <v>1</v>
      </c>
      <c r="I292">
        <v>12</v>
      </c>
      <c r="J292">
        <v>205</v>
      </c>
      <c r="K292">
        <v>3</v>
      </c>
    </row>
    <row r="293" spans="1:11" x14ac:dyDescent="0.3">
      <c r="A293">
        <v>37</v>
      </c>
      <c r="B293">
        <v>0</v>
      </c>
      <c r="C293">
        <v>0</v>
      </c>
      <c r="D293">
        <v>1</v>
      </c>
      <c r="E293">
        <v>0</v>
      </c>
      <c r="F293">
        <v>0</v>
      </c>
      <c r="G293">
        <v>1</v>
      </c>
      <c r="H293">
        <v>0</v>
      </c>
      <c r="I293">
        <v>17</v>
      </c>
      <c r="J293">
        <v>218</v>
      </c>
      <c r="K293">
        <v>1</v>
      </c>
    </row>
    <row r="294" spans="1:11" x14ac:dyDescent="0.3">
      <c r="A294">
        <v>55</v>
      </c>
      <c r="B294">
        <v>1</v>
      </c>
      <c r="C294">
        <v>1</v>
      </c>
      <c r="D294">
        <v>1</v>
      </c>
      <c r="E294">
        <v>1</v>
      </c>
      <c r="F294">
        <v>0</v>
      </c>
      <c r="G294">
        <v>0</v>
      </c>
      <c r="H294">
        <v>1</v>
      </c>
      <c r="I294">
        <v>17</v>
      </c>
      <c r="J294">
        <v>214</v>
      </c>
      <c r="K294">
        <v>2</v>
      </c>
    </row>
    <row r="295" spans="1:11" x14ac:dyDescent="0.3">
      <c r="A295">
        <v>59</v>
      </c>
      <c r="B295">
        <v>0</v>
      </c>
      <c r="C295">
        <v>0</v>
      </c>
      <c r="D295">
        <v>1</v>
      </c>
      <c r="E295">
        <v>1</v>
      </c>
      <c r="F295">
        <v>1</v>
      </c>
      <c r="G295">
        <v>0</v>
      </c>
      <c r="H295">
        <v>1</v>
      </c>
      <c r="I295">
        <v>20</v>
      </c>
      <c r="J295">
        <v>225</v>
      </c>
      <c r="K295">
        <v>2</v>
      </c>
    </row>
    <row r="296" spans="1:11" x14ac:dyDescent="0.3">
      <c r="A296">
        <v>41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1</v>
      </c>
      <c r="I296">
        <v>13</v>
      </c>
      <c r="J296">
        <v>197</v>
      </c>
      <c r="K296">
        <v>1</v>
      </c>
    </row>
    <row r="297" spans="1:11" x14ac:dyDescent="0.3">
      <c r="A297">
        <v>52</v>
      </c>
      <c r="B297">
        <v>1</v>
      </c>
      <c r="C297">
        <v>0</v>
      </c>
      <c r="D297">
        <v>1</v>
      </c>
      <c r="E297">
        <v>1</v>
      </c>
      <c r="F297">
        <v>0</v>
      </c>
      <c r="G297">
        <v>0</v>
      </c>
      <c r="H297">
        <v>1</v>
      </c>
      <c r="I297">
        <v>16</v>
      </c>
      <c r="J297">
        <v>194</v>
      </c>
      <c r="K297">
        <v>3</v>
      </c>
    </row>
    <row r="298" spans="1:11" x14ac:dyDescent="0.3">
      <c r="A298">
        <v>49</v>
      </c>
      <c r="B298">
        <v>1</v>
      </c>
      <c r="C298">
        <v>1</v>
      </c>
      <c r="D298">
        <v>1</v>
      </c>
      <c r="E298">
        <v>0</v>
      </c>
      <c r="F298">
        <v>0</v>
      </c>
      <c r="G298">
        <v>1</v>
      </c>
      <c r="H298">
        <v>0</v>
      </c>
      <c r="I298">
        <v>19</v>
      </c>
      <c r="J298">
        <v>211</v>
      </c>
      <c r="K298">
        <v>3</v>
      </c>
    </row>
    <row r="299" spans="1:11" x14ac:dyDescent="0.3">
      <c r="A299">
        <v>71</v>
      </c>
      <c r="B299">
        <v>1</v>
      </c>
      <c r="C299">
        <v>1</v>
      </c>
      <c r="D299">
        <v>1</v>
      </c>
      <c r="E299">
        <v>1</v>
      </c>
      <c r="F299">
        <v>0</v>
      </c>
      <c r="G299">
        <v>0</v>
      </c>
      <c r="H299">
        <v>0</v>
      </c>
      <c r="I299">
        <v>12</v>
      </c>
      <c r="J299">
        <v>224</v>
      </c>
      <c r="K299">
        <v>3</v>
      </c>
    </row>
    <row r="300" spans="1:11" x14ac:dyDescent="0.3">
      <c r="A300">
        <v>44</v>
      </c>
      <c r="B300">
        <v>1</v>
      </c>
      <c r="C300">
        <v>1</v>
      </c>
      <c r="D300">
        <v>0</v>
      </c>
      <c r="E300">
        <v>0</v>
      </c>
      <c r="F300">
        <v>1</v>
      </c>
      <c r="G300">
        <v>0</v>
      </c>
      <c r="H300">
        <v>1</v>
      </c>
      <c r="I300">
        <v>12</v>
      </c>
      <c r="J300">
        <v>226</v>
      </c>
      <c r="K300">
        <v>3</v>
      </c>
    </row>
    <row r="301" spans="1:11" x14ac:dyDescent="0.3">
      <c r="A301">
        <v>57</v>
      </c>
      <c r="B301">
        <v>1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15</v>
      </c>
      <c r="J301">
        <v>212</v>
      </c>
      <c r="K301">
        <v>2</v>
      </c>
    </row>
    <row r="302" spans="1:11" x14ac:dyDescent="0.3">
      <c r="A302">
        <v>57</v>
      </c>
      <c r="B302">
        <v>1</v>
      </c>
      <c r="C302">
        <v>1</v>
      </c>
      <c r="D302">
        <v>1</v>
      </c>
      <c r="E302">
        <v>1</v>
      </c>
      <c r="F302">
        <v>1</v>
      </c>
      <c r="G302">
        <v>0</v>
      </c>
      <c r="H302">
        <v>0</v>
      </c>
      <c r="I302">
        <v>16</v>
      </c>
      <c r="J302">
        <v>249</v>
      </c>
      <c r="K302">
        <v>2</v>
      </c>
    </row>
    <row r="303" spans="1:11" x14ac:dyDescent="0.3">
      <c r="A303">
        <v>56</v>
      </c>
      <c r="B303">
        <v>1</v>
      </c>
      <c r="C303">
        <v>0</v>
      </c>
      <c r="D303">
        <v>0</v>
      </c>
      <c r="E303">
        <v>1</v>
      </c>
      <c r="F303">
        <v>1</v>
      </c>
      <c r="G303">
        <v>0</v>
      </c>
      <c r="H303">
        <v>0</v>
      </c>
      <c r="I303">
        <v>18</v>
      </c>
      <c r="J303">
        <v>211</v>
      </c>
      <c r="K303">
        <v>2</v>
      </c>
    </row>
    <row r="304" spans="1:11" x14ac:dyDescent="0.3">
      <c r="A304">
        <v>38</v>
      </c>
      <c r="B304">
        <v>0</v>
      </c>
      <c r="C304">
        <v>1</v>
      </c>
      <c r="D304">
        <v>1</v>
      </c>
      <c r="E304">
        <v>1</v>
      </c>
      <c r="F304">
        <v>1</v>
      </c>
      <c r="G304">
        <v>0</v>
      </c>
      <c r="H304">
        <v>1</v>
      </c>
      <c r="I304">
        <v>15</v>
      </c>
      <c r="J304">
        <v>229</v>
      </c>
      <c r="K304">
        <v>1</v>
      </c>
    </row>
    <row r="305" spans="1:11" x14ac:dyDescent="0.3">
      <c r="A305">
        <v>40</v>
      </c>
      <c r="B305">
        <v>1</v>
      </c>
      <c r="C305">
        <v>0</v>
      </c>
      <c r="D305">
        <v>1</v>
      </c>
      <c r="E305">
        <v>0</v>
      </c>
      <c r="F305">
        <v>0</v>
      </c>
      <c r="G305">
        <v>0</v>
      </c>
      <c r="H305">
        <v>1</v>
      </c>
      <c r="I305">
        <v>17</v>
      </c>
      <c r="J305">
        <v>202</v>
      </c>
      <c r="K305">
        <v>2</v>
      </c>
    </row>
    <row r="306" spans="1:11" x14ac:dyDescent="0.3">
      <c r="A306">
        <v>52</v>
      </c>
      <c r="B306">
        <v>1</v>
      </c>
      <c r="C306">
        <v>1</v>
      </c>
      <c r="D306">
        <v>0</v>
      </c>
      <c r="E306">
        <v>0</v>
      </c>
      <c r="F306">
        <v>0</v>
      </c>
      <c r="G306">
        <v>0</v>
      </c>
      <c r="H306">
        <v>1</v>
      </c>
      <c r="I306">
        <v>13</v>
      </c>
      <c r="J306">
        <v>213</v>
      </c>
      <c r="K306">
        <v>2</v>
      </c>
    </row>
    <row r="307" spans="1:11" x14ac:dyDescent="0.3">
      <c r="A307">
        <v>39</v>
      </c>
      <c r="B307">
        <v>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19</v>
      </c>
      <c r="J307">
        <v>223</v>
      </c>
      <c r="K307">
        <v>3</v>
      </c>
    </row>
    <row r="308" spans="1:11" x14ac:dyDescent="0.3">
      <c r="A308">
        <v>46</v>
      </c>
      <c r="B308">
        <v>1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16</v>
      </c>
      <c r="J308">
        <v>250</v>
      </c>
      <c r="K308">
        <v>3</v>
      </c>
    </row>
    <row r="309" spans="1:11" x14ac:dyDescent="0.3">
      <c r="A309">
        <v>50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1</v>
      </c>
      <c r="I309">
        <v>18</v>
      </c>
      <c r="J309">
        <v>172</v>
      </c>
      <c r="K309">
        <v>1</v>
      </c>
    </row>
    <row r="310" spans="1:11" x14ac:dyDescent="0.3">
      <c r="A310">
        <v>72</v>
      </c>
      <c r="B310">
        <v>0</v>
      </c>
      <c r="C310">
        <v>1</v>
      </c>
      <c r="D310">
        <v>0</v>
      </c>
      <c r="E310">
        <v>1</v>
      </c>
      <c r="F310">
        <v>0</v>
      </c>
      <c r="G310">
        <v>0</v>
      </c>
      <c r="H310">
        <v>1</v>
      </c>
      <c r="I310">
        <v>14</v>
      </c>
      <c r="J310">
        <v>205</v>
      </c>
      <c r="K310">
        <v>3</v>
      </c>
    </row>
    <row r="311" spans="1:11" x14ac:dyDescent="0.3">
      <c r="A311">
        <v>44</v>
      </c>
      <c r="B311">
        <v>1</v>
      </c>
      <c r="C311">
        <v>0</v>
      </c>
      <c r="D311">
        <v>1</v>
      </c>
      <c r="E311">
        <v>0</v>
      </c>
      <c r="F311">
        <v>0</v>
      </c>
      <c r="G311">
        <v>1</v>
      </c>
      <c r="H311">
        <v>0</v>
      </c>
      <c r="I311">
        <v>12</v>
      </c>
      <c r="J311">
        <v>248</v>
      </c>
      <c r="K311">
        <v>3</v>
      </c>
    </row>
    <row r="312" spans="1:11" x14ac:dyDescent="0.3">
      <c r="A312">
        <v>59</v>
      </c>
      <c r="B312">
        <v>1</v>
      </c>
      <c r="C312">
        <v>0</v>
      </c>
      <c r="D312">
        <v>1</v>
      </c>
      <c r="E312">
        <v>0</v>
      </c>
      <c r="F312">
        <v>0</v>
      </c>
      <c r="G312">
        <v>1</v>
      </c>
      <c r="H312">
        <v>0</v>
      </c>
      <c r="I312">
        <v>15</v>
      </c>
      <c r="J312">
        <v>177</v>
      </c>
      <c r="K312">
        <v>3</v>
      </c>
    </row>
    <row r="313" spans="1:11" x14ac:dyDescent="0.3">
      <c r="A313">
        <v>51</v>
      </c>
      <c r="B313">
        <v>0</v>
      </c>
      <c r="C313">
        <v>1</v>
      </c>
      <c r="D313">
        <v>1</v>
      </c>
      <c r="E313">
        <v>0</v>
      </c>
      <c r="F313">
        <v>0</v>
      </c>
      <c r="G313">
        <v>0</v>
      </c>
      <c r="H313">
        <v>0</v>
      </c>
      <c r="I313">
        <v>17</v>
      </c>
      <c r="J313">
        <v>202</v>
      </c>
      <c r="K313">
        <v>3</v>
      </c>
    </row>
    <row r="314" spans="1:11" x14ac:dyDescent="0.3">
      <c r="A314">
        <v>65</v>
      </c>
      <c r="B314">
        <v>1</v>
      </c>
      <c r="C314">
        <v>1</v>
      </c>
      <c r="D314">
        <v>1</v>
      </c>
      <c r="E314">
        <v>1</v>
      </c>
      <c r="F314">
        <v>0</v>
      </c>
      <c r="G314">
        <v>0</v>
      </c>
      <c r="H314">
        <v>1</v>
      </c>
      <c r="I314">
        <v>17</v>
      </c>
      <c r="J314">
        <v>194</v>
      </c>
      <c r="K314">
        <v>2</v>
      </c>
    </row>
    <row r="315" spans="1:11" x14ac:dyDescent="0.3">
      <c r="A315">
        <v>48</v>
      </c>
      <c r="B315">
        <v>0</v>
      </c>
      <c r="C315">
        <v>1</v>
      </c>
      <c r="D315">
        <v>1</v>
      </c>
      <c r="E315">
        <v>0</v>
      </c>
      <c r="F315">
        <v>0</v>
      </c>
      <c r="G315">
        <v>0</v>
      </c>
      <c r="H315">
        <v>1</v>
      </c>
      <c r="I315">
        <v>12</v>
      </c>
      <c r="J315">
        <v>228</v>
      </c>
      <c r="K315">
        <v>3</v>
      </c>
    </row>
    <row r="316" spans="1:11" x14ac:dyDescent="0.3">
      <c r="A316">
        <v>56</v>
      </c>
      <c r="B316">
        <v>1</v>
      </c>
      <c r="C316">
        <v>0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19</v>
      </c>
      <c r="J316">
        <v>171</v>
      </c>
      <c r="K316">
        <v>2</v>
      </c>
    </row>
    <row r="317" spans="1:11" x14ac:dyDescent="0.3">
      <c r="A317">
        <v>45</v>
      </c>
      <c r="B317">
        <v>0</v>
      </c>
      <c r="C317">
        <v>0</v>
      </c>
      <c r="D317">
        <v>1</v>
      </c>
      <c r="E317">
        <v>0</v>
      </c>
      <c r="F317">
        <v>1</v>
      </c>
      <c r="G317">
        <v>0</v>
      </c>
      <c r="H317">
        <v>1</v>
      </c>
      <c r="I317">
        <v>14</v>
      </c>
      <c r="J317">
        <v>180</v>
      </c>
      <c r="K317">
        <v>1</v>
      </c>
    </row>
    <row r="318" spans="1:11" x14ac:dyDescent="0.3">
      <c r="A318">
        <v>70</v>
      </c>
      <c r="B318">
        <v>1</v>
      </c>
      <c r="C318">
        <v>1</v>
      </c>
      <c r="D318">
        <v>0</v>
      </c>
      <c r="E318">
        <v>1</v>
      </c>
      <c r="F318">
        <v>1</v>
      </c>
      <c r="G318">
        <v>1</v>
      </c>
      <c r="H318">
        <v>0</v>
      </c>
      <c r="I318">
        <v>10</v>
      </c>
      <c r="J318">
        <v>191</v>
      </c>
      <c r="K318">
        <v>3</v>
      </c>
    </row>
    <row r="319" spans="1:11" x14ac:dyDescent="0.3">
      <c r="A319">
        <v>42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1</v>
      </c>
      <c r="I319">
        <v>21</v>
      </c>
      <c r="J319">
        <v>220</v>
      </c>
      <c r="K319">
        <v>3</v>
      </c>
    </row>
    <row r="320" spans="1:11" x14ac:dyDescent="0.3">
      <c r="A320">
        <v>46</v>
      </c>
      <c r="B320">
        <v>0</v>
      </c>
      <c r="C320">
        <v>1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11</v>
      </c>
      <c r="J320">
        <v>242</v>
      </c>
      <c r="K320">
        <v>3</v>
      </c>
    </row>
    <row r="321" spans="1:11" x14ac:dyDescent="0.3">
      <c r="A321">
        <v>48</v>
      </c>
      <c r="B321">
        <v>0</v>
      </c>
      <c r="C321">
        <v>1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17</v>
      </c>
      <c r="J321">
        <v>239</v>
      </c>
      <c r="K321">
        <v>3</v>
      </c>
    </row>
    <row r="322" spans="1:11" x14ac:dyDescent="0.3">
      <c r="A322">
        <v>62</v>
      </c>
      <c r="B322">
        <v>0</v>
      </c>
      <c r="C322">
        <v>1</v>
      </c>
      <c r="D322">
        <v>0</v>
      </c>
      <c r="E322">
        <v>1</v>
      </c>
      <c r="F322">
        <v>0</v>
      </c>
      <c r="G322">
        <v>1</v>
      </c>
      <c r="H322">
        <v>1</v>
      </c>
      <c r="I322">
        <v>16</v>
      </c>
      <c r="J322">
        <v>171</v>
      </c>
      <c r="K322">
        <v>2</v>
      </c>
    </row>
    <row r="323" spans="1:11" x14ac:dyDescent="0.3">
      <c r="A323">
        <v>44</v>
      </c>
      <c r="B323">
        <v>0</v>
      </c>
      <c r="C323">
        <v>1</v>
      </c>
      <c r="D323">
        <v>1</v>
      </c>
      <c r="E323">
        <v>0</v>
      </c>
      <c r="F323">
        <v>0</v>
      </c>
      <c r="G323">
        <v>0</v>
      </c>
      <c r="H323">
        <v>1</v>
      </c>
      <c r="I323">
        <v>11</v>
      </c>
      <c r="J323">
        <v>224</v>
      </c>
      <c r="K323">
        <v>3</v>
      </c>
    </row>
    <row r="324" spans="1:11" x14ac:dyDescent="0.3">
      <c r="A324">
        <v>43</v>
      </c>
      <c r="B324">
        <v>1</v>
      </c>
      <c r="C324">
        <v>1</v>
      </c>
      <c r="D324">
        <v>1</v>
      </c>
      <c r="E324">
        <v>1</v>
      </c>
      <c r="F324">
        <v>0</v>
      </c>
      <c r="G324">
        <v>1</v>
      </c>
      <c r="H324">
        <v>0</v>
      </c>
      <c r="I324">
        <v>17</v>
      </c>
      <c r="J324">
        <v>209</v>
      </c>
      <c r="K324">
        <v>2</v>
      </c>
    </row>
    <row r="325" spans="1:11" x14ac:dyDescent="0.3">
      <c r="A325">
        <v>37</v>
      </c>
      <c r="B325">
        <v>0</v>
      </c>
      <c r="C325">
        <v>1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16</v>
      </c>
      <c r="J325">
        <v>252</v>
      </c>
      <c r="K325">
        <v>2</v>
      </c>
    </row>
    <row r="326" spans="1:11" x14ac:dyDescent="0.3">
      <c r="A326">
        <v>38</v>
      </c>
      <c r="B326">
        <v>0</v>
      </c>
      <c r="C326">
        <v>1</v>
      </c>
      <c r="D326">
        <v>0</v>
      </c>
      <c r="E326">
        <v>1</v>
      </c>
      <c r="F326">
        <v>0</v>
      </c>
      <c r="G326">
        <v>1</v>
      </c>
      <c r="H326">
        <v>0</v>
      </c>
      <c r="I326">
        <v>14</v>
      </c>
      <c r="J326">
        <v>188</v>
      </c>
      <c r="K326">
        <v>2</v>
      </c>
    </row>
    <row r="327" spans="1:11" x14ac:dyDescent="0.3">
      <c r="A327">
        <v>41</v>
      </c>
      <c r="B327">
        <v>0</v>
      </c>
      <c r="C327">
        <v>0</v>
      </c>
      <c r="D327">
        <v>1</v>
      </c>
      <c r="E327">
        <v>1</v>
      </c>
      <c r="F327">
        <v>0</v>
      </c>
      <c r="G327">
        <v>0</v>
      </c>
      <c r="H327">
        <v>1</v>
      </c>
      <c r="I327">
        <v>19</v>
      </c>
      <c r="J327">
        <v>240</v>
      </c>
      <c r="K327">
        <v>2</v>
      </c>
    </row>
    <row r="328" spans="1:11" x14ac:dyDescent="0.3">
      <c r="A328">
        <v>46</v>
      </c>
      <c r="B328">
        <v>0</v>
      </c>
      <c r="C328">
        <v>1</v>
      </c>
      <c r="D328">
        <v>1</v>
      </c>
      <c r="E328">
        <v>0</v>
      </c>
      <c r="F328">
        <v>0</v>
      </c>
      <c r="G328">
        <v>1</v>
      </c>
      <c r="H328">
        <v>1</v>
      </c>
      <c r="I328">
        <v>21</v>
      </c>
      <c r="J328">
        <v>228</v>
      </c>
      <c r="K328">
        <v>3</v>
      </c>
    </row>
    <row r="329" spans="1:11" x14ac:dyDescent="0.3">
      <c r="A329">
        <v>55</v>
      </c>
      <c r="B329">
        <v>1</v>
      </c>
      <c r="C329">
        <v>0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18</v>
      </c>
      <c r="J329">
        <v>207</v>
      </c>
      <c r="K329">
        <v>3</v>
      </c>
    </row>
    <row r="330" spans="1:11" x14ac:dyDescent="0.3">
      <c r="A330">
        <v>46</v>
      </c>
      <c r="B330">
        <v>0</v>
      </c>
      <c r="C330">
        <v>1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13</v>
      </c>
      <c r="J330">
        <v>225</v>
      </c>
      <c r="K330">
        <v>1</v>
      </c>
    </row>
    <row r="331" spans="1:11" x14ac:dyDescent="0.3">
      <c r="A331">
        <v>41</v>
      </c>
      <c r="B331">
        <v>1</v>
      </c>
      <c r="C331">
        <v>0</v>
      </c>
      <c r="D331">
        <v>1</v>
      </c>
      <c r="E331">
        <v>1</v>
      </c>
      <c r="F331">
        <v>0</v>
      </c>
      <c r="G331">
        <v>1</v>
      </c>
      <c r="H331">
        <v>1</v>
      </c>
      <c r="I331">
        <v>17</v>
      </c>
      <c r="J331">
        <v>231</v>
      </c>
      <c r="K331">
        <v>3</v>
      </c>
    </row>
    <row r="332" spans="1:11" x14ac:dyDescent="0.3">
      <c r="A332">
        <v>45</v>
      </c>
      <c r="B332">
        <v>0</v>
      </c>
      <c r="C332">
        <v>0</v>
      </c>
      <c r="D332">
        <v>1</v>
      </c>
      <c r="E332">
        <v>1</v>
      </c>
      <c r="F332">
        <v>0</v>
      </c>
      <c r="G332">
        <v>0</v>
      </c>
      <c r="H332">
        <v>1</v>
      </c>
      <c r="I332">
        <v>16</v>
      </c>
      <c r="J332">
        <v>233</v>
      </c>
      <c r="K332">
        <v>2</v>
      </c>
    </row>
    <row r="333" spans="1:11" x14ac:dyDescent="0.3">
      <c r="A333">
        <v>68</v>
      </c>
      <c r="B333">
        <v>0</v>
      </c>
      <c r="C333">
        <v>1</v>
      </c>
      <c r="D333">
        <v>0</v>
      </c>
      <c r="E333">
        <v>1</v>
      </c>
      <c r="F333">
        <v>0</v>
      </c>
      <c r="G333">
        <v>0</v>
      </c>
      <c r="H333">
        <v>1</v>
      </c>
      <c r="I333">
        <v>17</v>
      </c>
      <c r="J333">
        <v>246</v>
      </c>
      <c r="K333">
        <v>3</v>
      </c>
    </row>
    <row r="334" spans="1:11" x14ac:dyDescent="0.3">
      <c r="A334">
        <v>58</v>
      </c>
      <c r="B334">
        <v>1</v>
      </c>
      <c r="C334">
        <v>0</v>
      </c>
      <c r="D334">
        <v>1</v>
      </c>
      <c r="E334">
        <v>0</v>
      </c>
      <c r="F334">
        <v>1</v>
      </c>
      <c r="G334">
        <v>0</v>
      </c>
      <c r="H334">
        <v>1</v>
      </c>
      <c r="I334">
        <v>16</v>
      </c>
      <c r="J334">
        <v>170</v>
      </c>
      <c r="K334">
        <v>3</v>
      </c>
    </row>
    <row r="335" spans="1:11" x14ac:dyDescent="0.3">
      <c r="A335">
        <v>49</v>
      </c>
      <c r="B335">
        <v>0</v>
      </c>
      <c r="C335">
        <v>1</v>
      </c>
      <c r="D335">
        <v>1</v>
      </c>
      <c r="E335">
        <v>1</v>
      </c>
      <c r="F335">
        <v>0</v>
      </c>
      <c r="G335">
        <v>1</v>
      </c>
      <c r="H335">
        <v>0</v>
      </c>
      <c r="I335">
        <v>12</v>
      </c>
      <c r="J335">
        <v>212</v>
      </c>
      <c r="K335">
        <v>1</v>
      </c>
    </row>
    <row r="336" spans="1:11" x14ac:dyDescent="0.3">
      <c r="A336">
        <v>45</v>
      </c>
      <c r="B336">
        <v>1</v>
      </c>
      <c r="C336">
        <v>1</v>
      </c>
      <c r="D336">
        <v>0</v>
      </c>
      <c r="E336">
        <v>0</v>
      </c>
      <c r="F336">
        <v>0</v>
      </c>
      <c r="G336">
        <v>1</v>
      </c>
      <c r="H336">
        <v>1</v>
      </c>
      <c r="I336">
        <v>13</v>
      </c>
      <c r="J336">
        <v>233</v>
      </c>
      <c r="K336">
        <v>2</v>
      </c>
    </row>
    <row r="337" spans="1:11" x14ac:dyDescent="0.3">
      <c r="A337">
        <v>46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14</v>
      </c>
      <c r="J337">
        <v>199</v>
      </c>
      <c r="K337">
        <v>1</v>
      </c>
    </row>
    <row r="338" spans="1:11" x14ac:dyDescent="0.3">
      <c r="A338">
        <v>54</v>
      </c>
      <c r="B338">
        <v>0</v>
      </c>
      <c r="C338">
        <v>1</v>
      </c>
      <c r="D338">
        <v>1</v>
      </c>
      <c r="E338">
        <v>1</v>
      </c>
      <c r="F338">
        <v>1</v>
      </c>
      <c r="G338">
        <v>0</v>
      </c>
      <c r="H338">
        <v>1</v>
      </c>
      <c r="I338">
        <v>15</v>
      </c>
      <c r="J338">
        <v>235</v>
      </c>
      <c r="K338">
        <v>2</v>
      </c>
    </row>
    <row r="339" spans="1:11" x14ac:dyDescent="0.3">
      <c r="A339">
        <v>56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16</v>
      </c>
      <c r="J339">
        <v>209</v>
      </c>
      <c r="K339">
        <v>1</v>
      </c>
    </row>
    <row r="340" spans="1:11" x14ac:dyDescent="0.3">
      <c r="A340">
        <v>48</v>
      </c>
      <c r="B340">
        <v>0</v>
      </c>
      <c r="C340">
        <v>1</v>
      </c>
      <c r="D340">
        <v>1</v>
      </c>
      <c r="E340">
        <v>0</v>
      </c>
      <c r="F340">
        <v>0</v>
      </c>
      <c r="G340">
        <v>0</v>
      </c>
      <c r="H340">
        <v>0</v>
      </c>
      <c r="I340">
        <v>14</v>
      </c>
      <c r="J340">
        <v>222</v>
      </c>
      <c r="K340">
        <v>3</v>
      </c>
    </row>
    <row r="341" spans="1:11" x14ac:dyDescent="0.3">
      <c r="A341">
        <v>49</v>
      </c>
      <c r="B341">
        <v>1</v>
      </c>
      <c r="C341">
        <v>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17</v>
      </c>
      <c r="J341">
        <v>178</v>
      </c>
      <c r="K341">
        <v>3</v>
      </c>
    </row>
    <row r="342" spans="1:11" x14ac:dyDescent="0.3">
      <c r="A342">
        <v>52</v>
      </c>
      <c r="B342">
        <v>1</v>
      </c>
      <c r="C342">
        <v>1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16</v>
      </c>
      <c r="J342">
        <v>205</v>
      </c>
      <c r="K342">
        <v>3</v>
      </c>
    </row>
    <row r="343" spans="1:11" x14ac:dyDescent="0.3">
      <c r="A343">
        <v>46</v>
      </c>
      <c r="B343">
        <v>0</v>
      </c>
      <c r="C343">
        <v>1</v>
      </c>
      <c r="D343">
        <v>1</v>
      </c>
      <c r="E343">
        <v>0</v>
      </c>
      <c r="F343">
        <v>1</v>
      </c>
      <c r="G343">
        <v>1</v>
      </c>
      <c r="H343">
        <v>0</v>
      </c>
      <c r="I343">
        <v>17</v>
      </c>
      <c r="J343">
        <v>204</v>
      </c>
      <c r="K343">
        <v>3</v>
      </c>
    </row>
    <row r="344" spans="1:11" x14ac:dyDescent="0.3">
      <c r="A344">
        <v>52</v>
      </c>
      <c r="B344">
        <v>0</v>
      </c>
      <c r="C344">
        <v>1</v>
      </c>
      <c r="D344">
        <v>0</v>
      </c>
      <c r="E344">
        <v>1</v>
      </c>
      <c r="F344">
        <v>1</v>
      </c>
      <c r="G344">
        <v>1</v>
      </c>
      <c r="H344">
        <v>1</v>
      </c>
      <c r="I344">
        <v>20</v>
      </c>
      <c r="J344">
        <v>218</v>
      </c>
      <c r="K344">
        <v>3</v>
      </c>
    </row>
    <row r="345" spans="1:11" x14ac:dyDescent="0.3">
      <c r="A345">
        <v>52</v>
      </c>
      <c r="B345">
        <v>0</v>
      </c>
      <c r="C345">
        <v>0</v>
      </c>
      <c r="D345">
        <v>1</v>
      </c>
      <c r="E345">
        <v>0</v>
      </c>
      <c r="F345">
        <v>0</v>
      </c>
      <c r="G345">
        <v>0</v>
      </c>
      <c r="H345">
        <v>0</v>
      </c>
      <c r="I345">
        <v>17</v>
      </c>
      <c r="J345">
        <v>212</v>
      </c>
      <c r="K345">
        <v>1</v>
      </c>
    </row>
    <row r="346" spans="1:11" x14ac:dyDescent="0.3">
      <c r="A346">
        <v>47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12</v>
      </c>
      <c r="J346">
        <v>211</v>
      </c>
      <c r="K346">
        <v>1</v>
      </c>
    </row>
    <row r="347" spans="1:11" x14ac:dyDescent="0.3">
      <c r="A347">
        <v>66</v>
      </c>
      <c r="B347">
        <v>0</v>
      </c>
      <c r="C347">
        <v>1</v>
      </c>
      <c r="D347">
        <v>0</v>
      </c>
      <c r="E347">
        <v>1</v>
      </c>
      <c r="F347">
        <v>0</v>
      </c>
      <c r="G347">
        <v>0</v>
      </c>
      <c r="H347">
        <v>1</v>
      </c>
      <c r="I347">
        <v>11</v>
      </c>
      <c r="J347">
        <v>236</v>
      </c>
      <c r="K347">
        <v>3</v>
      </c>
    </row>
    <row r="348" spans="1:11" x14ac:dyDescent="0.3">
      <c r="A348">
        <v>45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14</v>
      </c>
      <c r="J348">
        <v>223</v>
      </c>
      <c r="K348">
        <v>1</v>
      </c>
    </row>
    <row r="349" spans="1:11" x14ac:dyDescent="0.3">
      <c r="A349">
        <v>58</v>
      </c>
      <c r="B349">
        <v>1</v>
      </c>
      <c r="C349">
        <v>1</v>
      </c>
      <c r="D349">
        <v>1</v>
      </c>
      <c r="E349">
        <v>0</v>
      </c>
      <c r="F349">
        <v>1</v>
      </c>
      <c r="G349">
        <v>1</v>
      </c>
      <c r="H349">
        <v>1</v>
      </c>
      <c r="I349">
        <v>14</v>
      </c>
      <c r="J349">
        <v>192</v>
      </c>
      <c r="K349">
        <v>3</v>
      </c>
    </row>
    <row r="350" spans="1:11" x14ac:dyDescent="0.3">
      <c r="A350">
        <v>50</v>
      </c>
      <c r="B350">
        <v>0</v>
      </c>
      <c r="C350">
        <v>0</v>
      </c>
      <c r="D350">
        <v>1</v>
      </c>
      <c r="E350">
        <v>0</v>
      </c>
      <c r="F350">
        <v>0</v>
      </c>
      <c r="G350">
        <v>0</v>
      </c>
      <c r="H350">
        <v>1</v>
      </c>
      <c r="I350">
        <v>20</v>
      </c>
      <c r="J350">
        <v>213</v>
      </c>
      <c r="K350">
        <v>1</v>
      </c>
    </row>
    <row r="351" spans="1:11" x14ac:dyDescent="0.3">
      <c r="A351">
        <v>43</v>
      </c>
      <c r="B351">
        <v>1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15</v>
      </c>
      <c r="J351">
        <v>236</v>
      </c>
      <c r="K351">
        <v>3</v>
      </c>
    </row>
    <row r="352" spans="1:11" x14ac:dyDescent="0.3">
      <c r="A352">
        <v>28</v>
      </c>
      <c r="B352">
        <v>0</v>
      </c>
      <c r="C352">
        <v>0</v>
      </c>
      <c r="D352">
        <v>1</v>
      </c>
      <c r="E352">
        <v>1</v>
      </c>
      <c r="F352">
        <v>0</v>
      </c>
      <c r="G352">
        <v>1</v>
      </c>
      <c r="H352">
        <v>0</v>
      </c>
      <c r="I352">
        <v>20</v>
      </c>
      <c r="J352">
        <v>216</v>
      </c>
      <c r="K352">
        <v>3</v>
      </c>
    </row>
    <row r="353" spans="1:11" x14ac:dyDescent="0.3">
      <c r="A353">
        <v>33</v>
      </c>
      <c r="B353">
        <v>0</v>
      </c>
      <c r="C353">
        <v>0</v>
      </c>
      <c r="D353">
        <v>0</v>
      </c>
      <c r="E353">
        <v>0</v>
      </c>
      <c r="F353">
        <v>1</v>
      </c>
      <c r="G353">
        <v>0</v>
      </c>
      <c r="H353">
        <v>0</v>
      </c>
      <c r="I353">
        <v>12</v>
      </c>
      <c r="J353">
        <v>202</v>
      </c>
      <c r="K353">
        <v>1</v>
      </c>
    </row>
    <row r="354" spans="1:11" x14ac:dyDescent="0.3">
      <c r="A354">
        <v>54</v>
      </c>
      <c r="B354">
        <v>1</v>
      </c>
      <c r="C354">
        <v>1</v>
      </c>
      <c r="D354">
        <v>1</v>
      </c>
      <c r="E354">
        <v>0</v>
      </c>
      <c r="F354">
        <v>0</v>
      </c>
      <c r="G354">
        <v>0</v>
      </c>
      <c r="H354">
        <v>1</v>
      </c>
      <c r="I354">
        <v>15</v>
      </c>
      <c r="J354">
        <v>219</v>
      </c>
      <c r="K354">
        <v>3</v>
      </c>
    </row>
    <row r="355" spans="1:11" x14ac:dyDescent="0.3">
      <c r="A355">
        <v>41</v>
      </c>
      <c r="B355">
        <v>0</v>
      </c>
      <c r="C355">
        <v>0</v>
      </c>
      <c r="D355">
        <v>1</v>
      </c>
      <c r="E355">
        <v>0</v>
      </c>
      <c r="F355">
        <v>0</v>
      </c>
      <c r="G355">
        <v>1</v>
      </c>
      <c r="H355">
        <v>0</v>
      </c>
      <c r="I355">
        <v>15</v>
      </c>
      <c r="J355">
        <v>210</v>
      </c>
      <c r="K355">
        <v>1</v>
      </c>
    </row>
    <row r="356" spans="1:11" x14ac:dyDescent="0.3">
      <c r="A356">
        <v>43</v>
      </c>
      <c r="B356">
        <v>1</v>
      </c>
      <c r="C356">
        <v>1</v>
      </c>
      <c r="D356">
        <v>0</v>
      </c>
      <c r="E356">
        <v>1</v>
      </c>
      <c r="F356">
        <v>0</v>
      </c>
      <c r="G356">
        <v>1</v>
      </c>
      <c r="H356">
        <v>0</v>
      </c>
      <c r="I356">
        <v>10</v>
      </c>
      <c r="J356">
        <v>214</v>
      </c>
      <c r="K356">
        <v>3</v>
      </c>
    </row>
    <row r="357" spans="1:11" x14ac:dyDescent="0.3">
      <c r="A357">
        <v>55</v>
      </c>
      <c r="B357">
        <v>1</v>
      </c>
      <c r="C357">
        <v>0</v>
      </c>
      <c r="D357">
        <v>1</v>
      </c>
      <c r="E357">
        <v>1</v>
      </c>
      <c r="F357">
        <v>0</v>
      </c>
      <c r="G357">
        <v>0</v>
      </c>
      <c r="H357">
        <v>0</v>
      </c>
      <c r="I357">
        <v>15</v>
      </c>
      <c r="J357">
        <v>216</v>
      </c>
      <c r="K357">
        <v>3</v>
      </c>
    </row>
    <row r="358" spans="1:11" x14ac:dyDescent="0.3">
      <c r="A358">
        <v>29</v>
      </c>
      <c r="B358">
        <v>0</v>
      </c>
      <c r="C358">
        <v>1</v>
      </c>
      <c r="D358">
        <v>0</v>
      </c>
      <c r="E358">
        <v>0</v>
      </c>
      <c r="F358">
        <v>1</v>
      </c>
      <c r="G358">
        <v>1</v>
      </c>
      <c r="H358">
        <v>0</v>
      </c>
      <c r="I358">
        <v>17</v>
      </c>
      <c r="J358">
        <v>232</v>
      </c>
      <c r="K358">
        <v>1</v>
      </c>
    </row>
    <row r="359" spans="1:11" x14ac:dyDescent="0.3">
      <c r="A359">
        <v>59</v>
      </c>
      <c r="B359">
        <v>1</v>
      </c>
      <c r="C359">
        <v>1</v>
      </c>
      <c r="D359">
        <v>1</v>
      </c>
      <c r="E359">
        <v>1</v>
      </c>
      <c r="F359">
        <v>0</v>
      </c>
      <c r="G359">
        <v>0</v>
      </c>
      <c r="H359">
        <v>0</v>
      </c>
      <c r="I359">
        <v>14</v>
      </c>
      <c r="J359">
        <v>216</v>
      </c>
      <c r="K359">
        <v>3</v>
      </c>
    </row>
    <row r="360" spans="1:11" x14ac:dyDescent="0.3">
      <c r="A360">
        <v>62</v>
      </c>
      <c r="B360">
        <v>0</v>
      </c>
      <c r="C360">
        <v>1</v>
      </c>
      <c r="D360">
        <v>1</v>
      </c>
      <c r="E360">
        <v>1</v>
      </c>
      <c r="F360">
        <v>0</v>
      </c>
      <c r="G360">
        <v>1</v>
      </c>
      <c r="H360">
        <v>0</v>
      </c>
      <c r="I360">
        <v>15</v>
      </c>
      <c r="J360">
        <v>169</v>
      </c>
      <c r="K360">
        <v>2</v>
      </c>
    </row>
    <row r="361" spans="1:11" x14ac:dyDescent="0.3">
      <c r="A361">
        <v>51</v>
      </c>
      <c r="B361">
        <v>0</v>
      </c>
      <c r="C361">
        <v>0</v>
      </c>
      <c r="D361">
        <v>1</v>
      </c>
      <c r="E361">
        <v>0</v>
      </c>
      <c r="F361">
        <v>0</v>
      </c>
      <c r="G361">
        <v>1</v>
      </c>
      <c r="H361">
        <v>0</v>
      </c>
      <c r="I361">
        <v>15</v>
      </c>
      <c r="J361">
        <v>215</v>
      </c>
      <c r="K361">
        <v>1</v>
      </c>
    </row>
    <row r="362" spans="1:11" x14ac:dyDescent="0.3">
      <c r="A362">
        <v>45</v>
      </c>
      <c r="B362">
        <v>1</v>
      </c>
      <c r="C362">
        <v>1</v>
      </c>
      <c r="D362">
        <v>1</v>
      </c>
      <c r="E362">
        <v>1</v>
      </c>
      <c r="F362">
        <v>0</v>
      </c>
      <c r="G362">
        <v>1</v>
      </c>
      <c r="H362">
        <v>0</v>
      </c>
      <c r="I362">
        <v>13</v>
      </c>
      <c r="J362">
        <v>177</v>
      </c>
      <c r="K362">
        <v>3</v>
      </c>
    </row>
    <row r="363" spans="1:11" x14ac:dyDescent="0.3">
      <c r="A363">
        <v>41</v>
      </c>
      <c r="B363">
        <v>1</v>
      </c>
      <c r="C363">
        <v>1</v>
      </c>
      <c r="D363">
        <v>1</v>
      </c>
      <c r="E363">
        <v>1</v>
      </c>
      <c r="F363">
        <v>0</v>
      </c>
      <c r="G363">
        <v>0</v>
      </c>
      <c r="H363">
        <v>0</v>
      </c>
      <c r="I363">
        <v>18</v>
      </c>
      <c r="J363">
        <v>171</v>
      </c>
      <c r="K363">
        <v>2</v>
      </c>
    </row>
    <row r="364" spans="1:11" x14ac:dyDescent="0.3">
      <c r="A364">
        <v>53</v>
      </c>
      <c r="B364">
        <v>0</v>
      </c>
      <c r="C364">
        <v>1</v>
      </c>
      <c r="D364">
        <v>1</v>
      </c>
      <c r="E364">
        <v>0</v>
      </c>
      <c r="F364">
        <v>0</v>
      </c>
      <c r="G364">
        <v>0</v>
      </c>
      <c r="H364">
        <v>1</v>
      </c>
      <c r="I364">
        <v>15</v>
      </c>
      <c r="J364">
        <v>245</v>
      </c>
      <c r="K364">
        <v>3</v>
      </c>
    </row>
    <row r="365" spans="1:11" x14ac:dyDescent="0.3">
      <c r="A365">
        <v>61</v>
      </c>
      <c r="B365">
        <v>0</v>
      </c>
      <c r="C365">
        <v>0</v>
      </c>
      <c r="D365">
        <v>1</v>
      </c>
      <c r="E365">
        <v>0</v>
      </c>
      <c r="F365">
        <v>0</v>
      </c>
      <c r="G365">
        <v>0</v>
      </c>
      <c r="H365">
        <v>1</v>
      </c>
      <c r="I365">
        <v>13</v>
      </c>
      <c r="J365">
        <v>188</v>
      </c>
      <c r="K365">
        <v>1</v>
      </c>
    </row>
    <row r="366" spans="1:11" x14ac:dyDescent="0.3">
      <c r="A366">
        <v>66</v>
      </c>
      <c r="B366">
        <v>1</v>
      </c>
      <c r="C366">
        <v>1</v>
      </c>
      <c r="D366">
        <v>0</v>
      </c>
      <c r="E366">
        <v>0</v>
      </c>
      <c r="F366">
        <v>0</v>
      </c>
      <c r="G366">
        <v>0</v>
      </c>
      <c r="H366">
        <v>1</v>
      </c>
      <c r="I366">
        <v>12</v>
      </c>
      <c r="J366">
        <v>191</v>
      </c>
      <c r="K366">
        <v>3</v>
      </c>
    </row>
    <row r="367" spans="1:11" x14ac:dyDescent="0.3">
      <c r="A367">
        <v>54</v>
      </c>
      <c r="B367">
        <v>0</v>
      </c>
      <c r="C367">
        <v>1</v>
      </c>
      <c r="D367">
        <v>1</v>
      </c>
      <c r="E367">
        <v>0</v>
      </c>
      <c r="F367">
        <v>0</v>
      </c>
      <c r="G367">
        <v>1</v>
      </c>
      <c r="H367">
        <v>1</v>
      </c>
      <c r="I367">
        <v>19</v>
      </c>
      <c r="J367">
        <v>204</v>
      </c>
      <c r="K367">
        <v>3</v>
      </c>
    </row>
    <row r="368" spans="1:11" x14ac:dyDescent="0.3">
      <c r="A368">
        <v>59</v>
      </c>
      <c r="B368">
        <v>0</v>
      </c>
      <c r="C368">
        <v>0</v>
      </c>
      <c r="D368">
        <v>1</v>
      </c>
      <c r="E368">
        <v>0</v>
      </c>
      <c r="F368">
        <v>1</v>
      </c>
      <c r="G368">
        <v>1</v>
      </c>
      <c r="H368">
        <v>1</v>
      </c>
      <c r="I368">
        <v>18</v>
      </c>
      <c r="J368">
        <v>222</v>
      </c>
      <c r="K368">
        <v>1</v>
      </c>
    </row>
    <row r="369" spans="1:11" x14ac:dyDescent="0.3">
      <c r="A369">
        <v>45</v>
      </c>
      <c r="B369">
        <v>1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1</v>
      </c>
      <c r="I369">
        <v>16</v>
      </c>
      <c r="J369">
        <v>181</v>
      </c>
      <c r="K369">
        <v>3</v>
      </c>
    </row>
    <row r="370" spans="1:11" x14ac:dyDescent="0.3">
      <c r="A370">
        <v>61</v>
      </c>
      <c r="B370">
        <v>0</v>
      </c>
      <c r="C370">
        <v>1</v>
      </c>
      <c r="D370">
        <v>0</v>
      </c>
      <c r="E370">
        <v>1</v>
      </c>
      <c r="F370">
        <v>1</v>
      </c>
      <c r="G370">
        <v>0</v>
      </c>
      <c r="H370">
        <v>0</v>
      </c>
      <c r="I370">
        <v>18</v>
      </c>
      <c r="J370">
        <v>201</v>
      </c>
      <c r="K370">
        <v>3</v>
      </c>
    </row>
    <row r="371" spans="1:11" x14ac:dyDescent="0.3">
      <c r="A371">
        <v>50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1</v>
      </c>
      <c r="I371">
        <v>13</v>
      </c>
      <c r="J371">
        <v>240</v>
      </c>
      <c r="K371">
        <v>1</v>
      </c>
    </row>
    <row r="372" spans="1:11" x14ac:dyDescent="0.3">
      <c r="A372">
        <v>29</v>
      </c>
      <c r="B372">
        <v>1</v>
      </c>
      <c r="C372">
        <v>1</v>
      </c>
      <c r="D372">
        <v>1</v>
      </c>
      <c r="E372">
        <v>0</v>
      </c>
      <c r="F372">
        <v>0</v>
      </c>
      <c r="G372">
        <v>0</v>
      </c>
      <c r="H372">
        <v>0</v>
      </c>
      <c r="I372">
        <v>17</v>
      </c>
      <c r="J372">
        <v>230</v>
      </c>
      <c r="K372">
        <v>3</v>
      </c>
    </row>
    <row r="373" spans="1:11" x14ac:dyDescent="0.3">
      <c r="A373">
        <v>55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15</v>
      </c>
      <c r="J373">
        <v>201</v>
      </c>
      <c r="K373">
        <v>1</v>
      </c>
    </row>
    <row r="374" spans="1:11" x14ac:dyDescent="0.3">
      <c r="A374">
        <v>44</v>
      </c>
      <c r="B374">
        <v>1</v>
      </c>
      <c r="C374">
        <v>1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16</v>
      </c>
      <c r="J374">
        <v>205</v>
      </c>
      <c r="K374">
        <v>2</v>
      </c>
    </row>
    <row r="375" spans="1:11" x14ac:dyDescent="0.3">
      <c r="A375">
        <v>63</v>
      </c>
      <c r="B375">
        <v>0</v>
      </c>
      <c r="C375">
        <v>0</v>
      </c>
      <c r="D375">
        <v>0</v>
      </c>
      <c r="E375">
        <v>1</v>
      </c>
      <c r="F375">
        <v>1</v>
      </c>
      <c r="G375">
        <v>1</v>
      </c>
      <c r="H375">
        <v>0</v>
      </c>
      <c r="I375">
        <v>19</v>
      </c>
      <c r="J375">
        <v>207</v>
      </c>
      <c r="K375">
        <v>1</v>
      </c>
    </row>
    <row r="376" spans="1:11" x14ac:dyDescent="0.3">
      <c r="A376">
        <v>48</v>
      </c>
      <c r="B376">
        <v>0</v>
      </c>
      <c r="C376">
        <v>1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12</v>
      </c>
      <c r="J376">
        <v>228</v>
      </c>
      <c r="K376">
        <v>2</v>
      </c>
    </row>
    <row r="377" spans="1:11" x14ac:dyDescent="0.3">
      <c r="A377">
        <v>45</v>
      </c>
      <c r="B377">
        <v>1</v>
      </c>
      <c r="C377">
        <v>0</v>
      </c>
      <c r="D377">
        <v>1</v>
      </c>
      <c r="E377">
        <v>1</v>
      </c>
      <c r="F377">
        <v>0</v>
      </c>
      <c r="G377">
        <v>0</v>
      </c>
      <c r="H377">
        <v>0</v>
      </c>
      <c r="I377">
        <v>17</v>
      </c>
      <c r="J377">
        <v>204</v>
      </c>
      <c r="K377">
        <v>3</v>
      </c>
    </row>
    <row r="378" spans="1:11" x14ac:dyDescent="0.3">
      <c r="A378">
        <v>42</v>
      </c>
      <c r="B378">
        <v>1</v>
      </c>
      <c r="C378">
        <v>1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20</v>
      </c>
      <c r="J378">
        <v>189</v>
      </c>
      <c r="K378">
        <v>2</v>
      </c>
    </row>
    <row r="379" spans="1:11" x14ac:dyDescent="0.3">
      <c r="A379">
        <v>46</v>
      </c>
      <c r="B379">
        <v>1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1</v>
      </c>
      <c r="I379">
        <v>13</v>
      </c>
      <c r="J379">
        <v>201</v>
      </c>
      <c r="K379">
        <v>3</v>
      </c>
    </row>
    <row r="380" spans="1:11" x14ac:dyDescent="0.3">
      <c r="A380">
        <v>60</v>
      </c>
      <c r="B380">
        <v>0</v>
      </c>
      <c r="C380">
        <v>1</v>
      </c>
      <c r="D380">
        <v>1</v>
      </c>
      <c r="E380">
        <v>1</v>
      </c>
      <c r="F380">
        <v>0</v>
      </c>
      <c r="G380">
        <v>0</v>
      </c>
      <c r="H380">
        <v>1</v>
      </c>
      <c r="I380">
        <v>14</v>
      </c>
      <c r="J380">
        <v>209</v>
      </c>
      <c r="K380">
        <v>2</v>
      </c>
    </row>
    <row r="381" spans="1:11" x14ac:dyDescent="0.3">
      <c r="A381">
        <v>50</v>
      </c>
      <c r="B381">
        <v>1</v>
      </c>
      <c r="C381">
        <v>1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16</v>
      </c>
      <c r="J381">
        <v>215</v>
      </c>
      <c r="K381">
        <v>2</v>
      </c>
    </row>
    <row r="382" spans="1:11" x14ac:dyDescent="0.3">
      <c r="A382">
        <v>38</v>
      </c>
      <c r="B382">
        <v>1</v>
      </c>
      <c r="C382">
        <v>0</v>
      </c>
      <c r="D382">
        <v>0</v>
      </c>
      <c r="E382">
        <v>0</v>
      </c>
      <c r="F382">
        <v>1</v>
      </c>
      <c r="G382">
        <v>0</v>
      </c>
      <c r="H382">
        <v>0</v>
      </c>
      <c r="I382">
        <v>16</v>
      </c>
      <c r="J382">
        <v>231</v>
      </c>
      <c r="K382">
        <v>2</v>
      </c>
    </row>
    <row r="383" spans="1:11" x14ac:dyDescent="0.3">
      <c r="A383">
        <v>62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1</v>
      </c>
      <c r="I383">
        <v>14</v>
      </c>
      <c r="J383">
        <v>206</v>
      </c>
      <c r="K383">
        <v>1</v>
      </c>
    </row>
    <row r="384" spans="1:11" x14ac:dyDescent="0.3">
      <c r="A384">
        <v>52</v>
      </c>
      <c r="B384">
        <v>0</v>
      </c>
      <c r="C384">
        <v>1</v>
      </c>
      <c r="D384">
        <v>0</v>
      </c>
      <c r="E384">
        <v>0</v>
      </c>
      <c r="F384">
        <v>0</v>
      </c>
      <c r="G384">
        <v>0</v>
      </c>
      <c r="H384">
        <v>1</v>
      </c>
      <c r="I384">
        <v>16</v>
      </c>
      <c r="J384">
        <v>184</v>
      </c>
      <c r="K384">
        <v>1</v>
      </c>
    </row>
    <row r="385" spans="1:11" x14ac:dyDescent="0.3">
      <c r="A385">
        <v>57</v>
      </c>
      <c r="B385">
        <v>1</v>
      </c>
      <c r="C385">
        <v>0</v>
      </c>
      <c r="D385">
        <v>1</v>
      </c>
      <c r="E385">
        <v>1</v>
      </c>
      <c r="F385">
        <v>0</v>
      </c>
      <c r="G385">
        <v>0</v>
      </c>
      <c r="H385">
        <v>0</v>
      </c>
      <c r="I385">
        <v>20</v>
      </c>
      <c r="J385">
        <v>198</v>
      </c>
      <c r="K385">
        <v>3</v>
      </c>
    </row>
    <row r="386" spans="1:11" x14ac:dyDescent="0.3">
      <c r="A386">
        <v>55</v>
      </c>
      <c r="B386">
        <v>0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16</v>
      </c>
      <c r="J386">
        <v>206</v>
      </c>
      <c r="K386">
        <v>3</v>
      </c>
    </row>
    <row r="387" spans="1:11" x14ac:dyDescent="0.3">
      <c r="A387">
        <v>59</v>
      </c>
      <c r="B387">
        <v>0</v>
      </c>
      <c r="C387">
        <v>1</v>
      </c>
      <c r="D387">
        <v>0</v>
      </c>
      <c r="E387">
        <v>0</v>
      </c>
      <c r="F387">
        <v>0</v>
      </c>
      <c r="G387">
        <v>1</v>
      </c>
      <c r="H387">
        <v>1</v>
      </c>
      <c r="I387">
        <v>19</v>
      </c>
      <c r="J387">
        <v>219</v>
      </c>
      <c r="K387">
        <v>1</v>
      </c>
    </row>
    <row r="388" spans="1:11" x14ac:dyDescent="0.3">
      <c r="A388">
        <v>62</v>
      </c>
      <c r="B388">
        <v>1</v>
      </c>
      <c r="C388">
        <v>1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13</v>
      </c>
      <c r="J388">
        <v>210</v>
      </c>
      <c r="K388">
        <v>3</v>
      </c>
    </row>
    <row r="389" spans="1:11" x14ac:dyDescent="0.3">
      <c r="A389">
        <v>44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1</v>
      </c>
      <c r="I389">
        <v>15</v>
      </c>
      <c r="J389">
        <v>207</v>
      </c>
      <c r="K389">
        <v>1</v>
      </c>
    </row>
    <row r="390" spans="1:11" x14ac:dyDescent="0.3">
      <c r="A390">
        <v>54</v>
      </c>
      <c r="B390">
        <v>0</v>
      </c>
      <c r="C390">
        <v>0</v>
      </c>
      <c r="D390">
        <v>0</v>
      </c>
      <c r="E390">
        <v>1</v>
      </c>
      <c r="F390">
        <v>1</v>
      </c>
      <c r="G390">
        <v>0</v>
      </c>
      <c r="H390">
        <v>0</v>
      </c>
      <c r="I390">
        <v>19</v>
      </c>
      <c r="J390">
        <v>220</v>
      </c>
      <c r="K390">
        <v>1</v>
      </c>
    </row>
    <row r="391" spans="1:11" x14ac:dyDescent="0.3">
      <c r="A391">
        <v>40</v>
      </c>
      <c r="B391">
        <v>0</v>
      </c>
      <c r="C391">
        <v>0</v>
      </c>
      <c r="D391">
        <v>1</v>
      </c>
      <c r="E391">
        <v>1</v>
      </c>
      <c r="F391">
        <v>0</v>
      </c>
      <c r="G391">
        <v>1</v>
      </c>
      <c r="H391">
        <v>0</v>
      </c>
      <c r="I391">
        <v>16</v>
      </c>
      <c r="J391">
        <v>205</v>
      </c>
      <c r="K391">
        <v>3</v>
      </c>
    </row>
    <row r="392" spans="1:11" x14ac:dyDescent="0.3">
      <c r="A392">
        <v>49</v>
      </c>
      <c r="B392">
        <v>1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1</v>
      </c>
      <c r="I392">
        <v>14</v>
      </c>
      <c r="J392">
        <v>210</v>
      </c>
      <c r="K392">
        <v>2</v>
      </c>
    </row>
    <row r="393" spans="1:11" x14ac:dyDescent="0.3">
      <c r="A393">
        <v>47</v>
      </c>
      <c r="B393">
        <v>1</v>
      </c>
      <c r="C393">
        <v>1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15</v>
      </c>
      <c r="J393">
        <v>255</v>
      </c>
      <c r="K393">
        <v>3</v>
      </c>
    </row>
    <row r="394" spans="1:11" x14ac:dyDescent="0.3">
      <c r="A394">
        <v>55</v>
      </c>
      <c r="B394">
        <v>1</v>
      </c>
      <c r="C394">
        <v>1</v>
      </c>
      <c r="D394">
        <v>1</v>
      </c>
      <c r="E394">
        <v>1</v>
      </c>
      <c r="F394">
        <v>1</v>
      </c>
      <c r="G394">
        <v>0</v>
      </c>
      <c r="H394">
        <v>1</v>
      </c>
      <c r="I394">
        <v>10</v>
      </c>
      <c r="J394">
        <v>219</v>
      </c>
      <c r="K394">
        <v>3</v>
      </c>
    </row>
    <row r="395" spans="1:11" x14ac:dyDescent="0.3">
      <c r="A395">
        <v>35</v>
      </c>
      <c r="B395">
        <v>0</v>
      </c>
      <c r="C395">
        <v>1</v>
      </c>
      <c r="D395">
        <v>1</v>
      </c>
      <c r="E395">
        <v>1</v>
      </c>
      <c r="F395">
        <v>0</v>
      </c>
      <c r="G395">
        <v>1</v>
      </c>
      <c r="H395">
        <v>1</v>
      </c>
      <c r="I395">
        <v>17</v>
      </c>
      <c r="J395">
        <v>241</v>
      </c>
      <c r="K395">
        <v>1</v>
      </c>
    </row>
    <row r="396" spans="1:11" x14ac:dyDescent="0.3">
      <c r="A396">
        <v>40</v>
      </c>
      <c r="B396">
        <v>0</v>
      </c>
      <c r="C396">
        <v>1</v>
      </c>
      <c r="D396">
        <v>0</v>
      </c>
      <c r="E396">
        <v>1</v>
      </c>
      <c r="F396">
        <v>0</v>
      </c>
      <c r="G396">
        <v>0</v>
      </c>
      <c r="H396">
        <v>1</v>
      </c>
      <c r="I396">
        <v>13</v>
      </c>
      <c r="J396">
        <v>202</v>
      </c>
      <c r="K396">
        <v>3</v>
      </c>
    </row>
    <row r="397" spans="1:11" x14ac:dyDescent="0.3">
      <c r="A397">
        <v>43</v>
      </c>
      <c r="B397">
        <v>0</v>
      </c>
      <c r="C397">
        <v>1</v>
      </c>
      <c r="D397">
        <v>0</v>
      </c>
      <c r="E397">
        <v>0</v>
      </c>
      <c r="F397">
        <v>0</v>
      </c>
      <c r="G397">
        <v>1</v>
      </c>
      <c r="H397">
        <v>1</v>
      </c>
      <c r="I397">
        <v>13</v>
      </c>
      <c r="J397">
        <v>206</v>
      </c>
      <c r="K397">
        <v>1</v>
      </c>
    </row>
    <row r="398" spans="1:11" x14ac:dyDescent="0.3">
      <c r="A398">
        <v>45</v>
      </c>
      <c r="B398">
        <v>0</v>
      </c>
      <c r="C398">
        <v>1</v>
      </c>
      <c r="D398">
        <v>0</v>
      </c>
      <c r="E398">
        <v>1</v>
      </c>
      <c r="F398">
        <v>0</v>
      </c>
      <c r="G398">
        <v>1</v>
      </c>
      <c r="H398">
        <v>0</v>
      </c>
      <c r="I398">
        <v>16</v>
      </c>
      <c r="J398">
        <v>243</v>
      </c>
      <c r="K398">
        <v>2</v>
      </c>
    </row>
    <row r="399" spans="1:11" x14ac:dyDescent="0.3">
      <c r="A399">
        <v>42</v>
      </c>
      <c r="B399">
        <v>1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21</v>
      </c>
      <c r="J399">
        <v>176</v>
      </c>
      <c r="K399">
        <v>1</v>
      </c>
    </row>
    <row r="400" spans="1:11" x14ac:dyDescent="0.3">
      <c r="A400">
        <v>65</v>
      </c>
      <c r="B400">
        <v>1</v>
      </c>
      <c r="C400">
        <v>0</v>
      </c>
      <c r="D400">
        <v>0</v>
      </c>
      <c r="E400">
        <v>1</v>
      </c>
      <c r="F400">
        <v>1</v>
      </c>
      <c r="G400">
        <v>0</v>
      </c>
      <c r="H400">
        <v>1</v>
      </c>
      <c r="I400">
        <v>16</v>
      </c>
      <c r="J400">
        <v>229</v>
      </c>
      <c r="K400">
        <v>3</v>
      </c>
    </row>
    <row r="401" spans="1:11" x14ac:dyDescent="0.3">
      <c r="A401">
        <v>43</v>
      </c>
      <c r="B401">
        <v>1</v>
      </c>
      <c r="C401">
        <v>0</v>
      </c>
      <c r="D401">
        <v>1</v>
      </c>
      <c r="E401">
        <v>0</v>
      </c>
      <c r="F401">
        <v>0</v>
      </c>
      <c r="G401">
        <v>0</v>
      </c>
      <c r="H401">
        <v>0</v>
      </c>
      <c r="I401">
        <v>17</v>
      </c>
      <c r="J401">
        <v>183</v>
      </c>
      <c r="K401">
        <v>3</v>
      </c>
    </row>
    <row r="402" spans="1:11" x14ac:dyDescent="0.3">
      <c r="A402">
        <v>52</v>
      </c>
      <c r="B402">
        <v>1</v>
      </c>
      <c r="C402">
        <v>0</v>
      </c>
      <c r="D402">
        <v>1</v>
      </c>
      <c r="E402">
        <v>0</v>
      </c>
      <c r="F402">
        <v>0</v>
      </c>
      <c r="G402">
        <v>1</v>
      </c>
      <c r="H402">
        <v>1</v>
      </c>
      <c r="I402">
        <v>19</v>
      </c>
      <c r="J402">
        <v>185</v>
      </c>
      <c r="K402">
        <v>2</v>
      </c>
    </row>
    <row r="403" spans="1:11" x14ac:dyDescent="0.3">
      <c r="A403">
        <v>50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15</v>
      </c>
      <c r="J403">
        <v>207</v>
      </c>
      <c r="K403">
        <v>1</v>
      </c>
    </row>
    <row r="404" spans="1:11" x14ac:dyDescent="0.3">
      <c r="A404">
        <v>63</v>
      </c>
      <c r="B404">
        <v>1</v>
      </c>
      <c r="C404">
        <v>1</v>
      </c>
      <c r="D404">
        <v>0</v>
      </c>
      <c r="E404">
        <v>0</v>
      </c>
      <c r="F404">
        <v>0</v>
      </c>
      <c r="G404">
        <v>1</v>
      </c>
      <c r="H404">
        <v>0</v>
      </c>
      <c r="I404">
        <v>8</v>
      </c>
      <c r="J404">
        <v>212</v>
      </c>
      <c r="K404">
        <v>2</v>
      </c>
    </row>
    <row r="405" spans="1:11" x14ac:dyDescent="0.3">
      <c r="A405">
        <v>68</v>
      </c>
      <c r="B405">
        <v>1</v>
      </c>
      <c r="C405">
        <v>0</v>
      </c>
      <c r="D405">
        <v>0</v>
      </c>
      <c r="E405">
        <v>0</v>
      </c>
      <c r="F405">
        <v>0</v>
      </c>
      <c r="G405">
        <v>1</v>
      </c>
      <c r="H405">
        <v>1</v>
      </c>
      <c r="I405">
        <v>13</v>
      </c>
      <c r="J405">
        <v>179</v>
      </c>
      <c r="K405">
        <v>3</v>
      </c>
    </row>
    <row r="406" spans="1:11" x14ac:dyDescent="0.3">
      <c r="A406">
        <v>51</v>
      </c>
      <c r="B406">
        <v>0</v>
      </c>
      <c r="C406">
        <v>0</v>
      </c>
      <c r="D406">
        <v>1</v>
      </c>
      <c r="E406">
        <v>0</v>
      </c>
      <c r="F406">
        <v>0</v>
      </c>
      <c r="G406">
        <v>1</v>
      </c>
      <c r="H406">
        <v>1</v>
      </c>
      <c r="I406">
        <v>13</v>
      </c>
      <c r="J406">
        <v>179</v>
      </c>
      <c r="K406">
        <v>1</v>
      </c>
    </row>
    <row r="407" spans="1:11" x14ac:dyDescent="0.3">
      <c r="A407">
        <v>50</v>
      </c>
      <c r="B407">
        <v>0</v>
      </c>
      <c r="C407">
        <v>1</v>
      </c>
      <c r="D407">
        <v>0</v>
      </c>
      <c r="E407">
        <v>0</v>
      </c>
      <c r="F407">
        <v>1</v>
      </c>
      <c r="G407">
        <v>0</v>
      </c>
      <c r="H407">
        <v>0</v>
      </c>
      <c r="I407">
        <v>14</v>
      </c>
      <c r="J407">
        <v>236</v>
      </c>
      <c r="K407">
        <v>1</v>
      </c>
    </row>
    <row r="408" spans="1:11" x14ac:dyDescent="0.3">
      <c r="A408">
        <v>80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11</v>
      </c>
      <c r="J408">
        <v>180</v>
      </c>
      <c r="K408">
        <v>1</v>
      </c>
    </row>
    <row r="409" spans="1:11" x14ac:dyDescent="0.3">
      <c r="A409">
        <v>62</v>
      </c>
      <c r="B409">
        <v>1</v>
      </c>
      <c r="C409">
        <v>1</v>
      </c>
      <c r="D409">
        <v>0</v>
      </c>
      <c r="E409">
        <v>1</v>
      </c>
      <c r="F409">
        <v>1</v>
      </c>
      <c r="G409">
        <v>0</v>
      </c>
      <c r="H409">
        <v>0</v>
      </c>
      <c r="I409">
        <v>18</v>
      </c>
      <c r="J409">
        <v>210</v>
      </c>
      <c r="K409">
        <v>3</v>
      </c>
    </row>
    <row r="410" spans="1:11" x14ac:dyDescent="0.3">
      <c r="A410">
        <v>52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12</v>
      </c>
      <c r="J410">
        <v>243</v>
      </c>
      <c r="K410">
        <v>1</v>
      </c>
    </row>
    <row r="411" spans="1:11" x14ac:dyDescent="0.3">
      <c r="A411">
        <v>42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1</v>
      </c>
      <c r="H411">
        <v>1</v>
      </c>
      <c r="I411">
        <v>15</v>
      </c>
      <c r="J411">
        <v>236</v>
      </c>
      <c r="K411">
        <v>3</v>
      </c>
    </row>
    <row r="412" spans="1:11" x14ac:dyDescent="0.3">
      <c r="A412">
        <v>53</v>
      </c>
      <c r="B412">
        <v>0</v>
      </c>
      <c r="C412">
        <v>1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14</v>
      </c>
      <c r="J412">
        <v>184</v>
      </c>
      <c r="K412">
        <v>3</v>
      </c>
    </row>
    <row r="413" spans="1:11" x14ac:dyDescent="0.3">
      <c r="A413">
        <v>40</v>
      </c>
      <c r="B413">
        <v>1</v>
      </c>
      <c r="C413">
        <v>0</v>
      </c>
      <c r="D413">
        <v>1</v>
      </c>
      <c r="E413">
        <v>1</v>
      </c>
      <c r="F413">
        <v>0</v>
      </c>
      <c r="G413">
        <v>0</v>
      </c>
      <c r="H413">
        <v>1</v>
      </c>
      <c r="I413">
        <v>12</v>
      </c>
      <c r="J413">
        <v>235</v>
      </c>
      <c r="K413">
        <v>2</v>
      </c>
    </row>
    <row r="414" spans="1:11" x14ac:dyDescent="0.3">
      <c r="A414">
        <v>53</v>
      </c>
      <c r="B414">
        <v>0</v>
      </c>
      <c r="C414">
        <v>0</v>
      </c>
      <c r="D414">
        <v>0</v>
      </c>
      <c r="E414">
        <v>0</v>
      </c>
      <c r="F414">
        <v>1</v>
      </c>
      <c r="G414">
        <v>1</v>
      </c>
      <c r="H414">
        <v>1</v>
      </c>
      <c r="I414">
        <v>16</v>
      </c>
      <c r="J414">
        <v>196</v>
      </c>
      <c r="K414">
        <v>1</v>
      </c>
    </row>
    <row r="415" spans="1:11" x14ac:dyDescent="0.3">
      <c r="A415">
        <v>70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17</v>
      </c>
      <c r="J415">
        <v>204</v>
      </c>
      <c r="K415">
        <v>3</v>
      </c>
    </row>
    <row r="416" spans="1:11" x14ac:dyDescent="0.3">
      <c r="A416">
        <v>37</v>
      </c>
      <c r="B416">
        <v>1</v>
      </c>
      <c r="C416">
        <v>1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15</v>
      </c>
      <c r="J416">
        <v>208</v>
      </c>
      <c r="K416">
        <v>3</v>
      </c>
    </row>
    <row r="417" spans="1:11" x14ac:dyDescent="0.3">
      <c r="A417">
        <v>46</v>
      </c>
      <c r="B417">
        <v>1</v>
      </c>
      <c r="C417">
        <v>1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18</v>
      </c>
      <c r="J417">
        <v>204</v>
      </c>
      <c r="K417">
        <v>2</v>
      </c>
    </row>
    <row r="418" spans="1:11" x14ac:dyDescent="0.3">
      <c r="A418">
        <v>47</v>
      </c>
      <c r="B418">
        <v>1</v>
      </c>
      <c r="C418">
        <v>0</v>
      </c>
      <c r="D418">
        <v>0</v>
      </c>
      <c r="E418">
        <v>0</v>
      </c>
      <c r="F418">
        <v>0</v>
      </c>
      <c r="G418">
        <v>1</v>
      </c>
      <c r="H418">
        <v>0</v>
      </c>
      <c r="I418">
        <v>15</v>
      </c>
      <c r="J418">
        <v>204</v>
      </c>
      <c r="K418">
        <v>3</v>
      </c>
    </row>
    <row r="419" spans="1:11" x14ac:dyDescent="0.3">
      <c r="A419">
        <v>51</v>
      </c>
      <c r="B419">
        <v>1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1</v>
      </c>
      <c r="I419">
        <v>15</v>
      </c>
      <c r="J419">
        <v>198</v>
      </c>
      <c r="K419">
        <v>3</v>
      </c>
    </row>
    <row r="420" spans="1:11" x14ac:dyDescent="0.3">
      <c r="A420">
        <v>41</v>
      </c>
      <c r="B420">
        <v>1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1</v>
      </c>
      <c r="I420">
        <v>15</v>
      </c>
      <c r="J420">
        <v>183</v>
      </c>
      <c r="K420">
        <v>3</v>
      </c>
    </row>
    <row r="421" spans="1:11" x14ac:dyDescent="0.3">
      <c r="A421">
        <v>49</v>
      </c>
      <c r="B421">
        <v>1</v>
      </c>
      <c r="C421">
        <v>1</v>
      </c>
      <c r="D421">
        <v>1</v>
      </c>
      <c r="E421">
        <v>0</v>
      </c>
      <c r="F421">
        <v>0</v>
      </c>
      <c r="G421">
        <v>0</v>
      </c>
      <c r="H421">
        <v>0</v>
      </c>
      <c r="I421">
        <v>17</v>
      </c>
      <c r="J421">
        <v>238</v>
      </c>
      <c r="K421">
        <v>3</v>
      </c>
    </row>
    <row r="422" spans="1:11" x14ac:dyDescent="0.3">
      <c r="A422">
        <v>56</v>
      </c>
      <c r="B422">
        <v>0</v>
      </c>
      <c r="C422">
        <v>0</v>
      </c>
      <c r="D422">
        <v>1</v>
      </c>
      <c r="E422">
        <v>1</v>
      </c>
      <c r="F422">
        <v>0</v>
      </c>
      <c r="G422">
        <v>0</v>
      </c>
      <c r="H422">
        <v>1</v>
      </c>
      <c r="I422">
        <v>13</v>
      </c>
      <c r="J422">
        <v>219</v>
      </c>
      <c r="K422">
        <v>3</v>
      </c>
    </row>
    <row r="423" spans="1:11" x14ac:dyDescent="0.3">
      <c r="A423">
        <v>62</v>
      </c>
      <c r="B423">
        <v>1</v>
      </c>
      <c r="C423">
        <v>1</v>
      </c>
      <c r="D423">
        <v>1</v>
      </c>
      <c r="E423">
        <v>1</v>
      </c>
      <c r="F423">
        <v>0</v>
      </c>
      <c r="G423">
        <v>0</v>
      </c>
      <c r="H423">
        <v>1</v>
      </c>
      <c r="I423">
        <v>15</v>
      </c>
      <c r="J423">
        <v>212</v>
      </c>
      <c r="K423">
        <v>3</v>
      </c>
    </row>
    <row r="424" spans="1:11" x14ac:dyDescent="0.3">
      <c r="A424">
        <v>43</v>
      </c>
      <c r="B424">
        <v>0</v>
      </c>
      <c r="C424">
        <v>0</v>
      </c>
      <c r="D424">
        <v>1</v>
      </c>
      <c r="E424">
        <v>1</v>
      </c>
      <c r="F424">
        <v>1</v>
      </c>
      <c r="G424">
        <v>0</v>
      </c>
      <c r="H424">
        <v>0</v>
      </c>
      <c r="I424">
        <v>17</v>
      </c>
      <c r="J424">
        <v>205</v>
      </c>
      <c r="K424">
        <v>3</v>
      </c>
    </row>
    <row r="425" spans="1:11" x14ac:dyDescent="0.3">
      <c r="A425">
        <v>44</v>
      </c>
      <c r="B425">
        <v>1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1</v>
      </c>
      <c r="I425">
        <v>17</v>
      </c>
      <c r="J425">
        <v>215</v>
      </c>
      <c r="K425">
        <v>2</v>
      </c>
    </row>
    <row r="426" spans="1:11" x14ac:dyDescent="0.3">
      <c r="A426">
        <v>40</v>
      </c>
      <c r="B426">
        <v>1</v>
      </c>
      <c r="C426">
        <v>1</v>
      </c>
      <c r="D426">
        <v>1</v>
      </c>
      <c r="E426">
        <v>0</v>
      </c>
      <c r="F426">
        <v>1</v>
      </c>
      <c r="G426">
        <v>0</v>
      </c>
      <c r="H426">
        <v>0</v>
      </c>
      <c r="I426">
        <v>15</v>
      </c>
      <c r="J426">
        <v>198</v>
      </c>
      <c r="K426">
        <v>3</v>
      </c>
    </row>
    <row r="427" spans="1:11" x14ac:dyDescent="0.3">
      <c r="A427">
        <v>34</v>
      </c>
      <c r="B427">
        <v>1</v>
      </c>
      <c r="C427">
        <v>1</v>
      </c>
      <c r="D427">
        <v>1</v>
      </c>
      <c r="E427">
        <v>1</v>
      </c>
      <c r="F427">
        <v>0</v>
      </c>
      <c r="G427">
        <v>1</v>
      </c>
      <c r="H427">
        <v>0</v>
      </c>
      <c r="I427">
        <v>8</v>
      </c>
      <c r="J427">
        <v>225</v>
      </c>
      <c r="K427">
        <v>2</v>
      </c>
    </row>
    <row r="428" spans="1:11" x14ac:dyDescent="0.3">
      <c r="A428">
        <v>42</v>
      </c>
      <c r="B428">
        <v>1</v>
      </c>
      <c r="C428">
        <v>1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17</v>
      </c>
      <c r="J428">
        <v>183</v>
      </c>
      <c r="K428">
        <v>2</v>
      </c>
    </row>
    <row r="429" spans="1:11" x14ac:dyDescent="0.3">
      <c r="A429">
        <v>49</v>
      </c>
      <c r="B429">
        <v>1</v>
      </c>
      <c r="C429">
        <v>1</v>
      </c>
      <c r="D429">
        <v>0</v>
      </c>
      <c r="E429">
        <v>0</v>
      </c>
      <c r="F429">
        <v>0</v>
      </c>
      <c r="G429">
        <v>1</v>
      </c>
      <c r="H429">
        <v>1</v>
      </c>
      <c r="I429">
        <v>13</v>
      </c>
      <c r="J429">
        <v>197</v>
      </c>
      <c r="K429">
        <v>3</v>
      </c>
    </row>
    <row r="430" spans="1:11" x14ac:dyDescent="0.3">
      <c r="A430">
        <v>50</v>
      </c>
      <c r="B430">
        <v>0</v>
      </c>
      <c r="C430">
        <v>1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17</v>
      </c>
      <c r="J430">
        <v>202</v>
      </c>
      <c r="K430">
        <v>2</v>
      </c>
    </row>
    <row r="431" spans="1:11" x14ac:dyDescent="0.3">
      <c r="A431">
        <v>52</v>
      </c>
      <c r="B431">
        <v>0</v>
      </c>
      <c r="C431">
        <v>1</v>
      </c>
      <c r="D431">
        <v>0</v>
      </c>
      <c r="E431">
        <v>0</v>
      </c>
      <c r="F431">
        <v>0</v>
      </c>
      <c r="G431">
        <v>1</v>
      </c>
      <c r="H431">
        <v>0</v>
      </c>
      <c r="I431">
        <v>9</v>
      </c>
      <c r="J431">
        <v>201</v>
      </c>
      <c r="K431">
        <v>1</v>
      </c>
    </row>
    <row r="432" spans="1:11" x14ac:dyDescent="0.3">
      <c r="A432">
        <v>40</v>
      </c>
      <c r="B432">
        <v>1</v>
      </c>
      <c r="C432">
        <v>0</v>
      </c>
      <c r="D432">
        <v>1</v>
      </c>
      <c r="E432">
        <v>1</v>
      </c>
      <c r="F432">
        <v>0</v>
      </c>
      <c r="G432">
        <v>0</v>
      </c>
      <c r="H432">
        <v>0</v>
      </c>
      <c r="I432">
        <v>16</v>
      </c>
      <c r="J432">
        <v>237</v>
      </c>
      <c r="K432">
        <v>3</v>
      </c>
    </row>
    <row r="433" spans="1:11" x14ac:dyDescent="0.3">
      <c r="A433">
        <v>54</v>
      </c>
      <c r="B433">
        <v>0</v>
      </c>
      <c r="C433">
        <v>1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13</v>
      </c>
      <c r="J433">
        <v>218</v>
      </c>
      <c r="K433">
        <v>3</v>
      </c>
    </row>
    <row r="434" spans="1:11" x14ac:dyDescent="0.3">
      <c r="A434">
        <v>27</v>
      </c>
      <c r="B434">
        <v>0</v>
      </c>
      <c r="C434">
        <v>0</v>
      </c>
      <c r="D434">
        <v>1</v>
      </c>
      <c r="E434">
        <v>0</v>
      </c>
      <c r="F434">
        <v>0</v>
      </c>
      <c r="G434">
        <v>1</v>
      </c>
      <c r="H434">
        <v>0</v>
      </c>
      <c r="I434">
        <v>16</v>
      </c>
      <c r="J434">
        <v>214</v>
      </c>
      <c r="K434">
        <v>1</v>
      </c>
    </row>
    <row r="435" spans="1:11" x14ac:dyDescent="0.3">
      <c r="A435">
        <v>46</v>
      </c>
      <c r="B435">
        <v>0</v>
      </c>
      <c r="C435">
        <v>1</v>
      </c>
      <c r="D435">
        <v>0</v>
      </c>
      <c r="E435">
        <v>0</v>
      </c>
      <c r="F435">
        <v>1</v>
      </c>
      <c r="G435">
        <v>0</v>
      </c>
      <c r="H435">
        <v>0</v>
      </c>
      <c r="I435">
        <v>18</v>
      </c>
      <c r="J435">
        <v>201</v>
      </c>
      <c r="K435">
        <v>1</v>
      </c>
    </row>
    <row r="436" spans="1:11" x14ac:dyDescent="0.3">
      <c r="A436">
        <v>50</v>
      </c>
      <c r="B436">
        <v>0</v>
      </c>
      <c r="C436">
        <v>1</v>
      </c>
      <c r="D436">
        <v>0</v>
      </c>
      <c r="E436">
        <v>0</v>
      </c>
      <c r="F436">
        <v>0</v>
      </c>
      <c r="G436">
        <v>1</v>
      </c>
      <c r="H436">
        <v>0</v>
      </c>
      <c r="I436">
        <v>14</v>
      </c>
      <c r="J436">
        <v>220</v>
      </c>
      <c r="K436">
        <v>1</v>
      </c>
    </row>
    <row r="437" spans="1:11" x14ac:dyDescent="0.3">
      <c r="A437">
        <v>59</v>
      </c>
      <c r="B437">
        <v>1</v>
      </c>
      <c r="C437">
        <v>1</v>
      </c>
      <c r="D437">
        <v>1</v>
      </c>
      <c r="E437">
        <v>0</v>
      </c>
      <c r="F437">
        <v>1</v>
      </c>
      <c r="G437">
        <v>0</v>
      </c>
      <c r="H437">
        <v>0</v>
      </c>
      <c r="I437">
        <v>15</v>
      </c>
      <c r="J437">
        <v>226</v>
      </c>
      <c r="K437">
        <v>3</v>
      </c>
    </row>
    <row r="438" spans="1:11" x14ac:dyDescent="0.3">
      <c r="A438">
        <v>34</v>
      </c>
      <c r="B438">
        <v>1</v>
      </c>
      <c r="C438">
        <v>1</v>
      </c>
      <c r="D438">
        <v>0</v>
      </c>
      <c r="E438">
        <v>1</v>
      </c>
      <c r="F438">
        <v>1</v>
      </c>
      <c r="G438">
        <v>1</v>
      </c>
      <c r="H438">
        <v>0</v>
      </c>
      <c r="I438">
        <v>15</v>
      </c>
      <c r="J438">
        <v>208</v>
      </c>
      <c r="K438">
        <v>3</v>
      </c>
    </row>
    <row r="439" spans="1:11" x14ac:dyDescent="0.3">
      <c r="A439">
        <v>61</v>
      </c>
      <c r="B439">
        <v>1</v>
      </c>
      <c r="C439">
        <v>1</v>
      </c>
      <c r="D439">
        <v>1</v>
      </c>
      <c r="E439">
        <v>1</v>
      </c>
      <c r="F439">
        <v>0</v>
      </c>
      <c r="G439">
        <v>0</v>
      </c>
      <c r="H439">
        <v>1</v>
      </c>
      <c r="I439">
        <v>19</v>
      </c>
      <c r="J439">
        <v>233</v>
      </c>
      <c r="K439">
        <v>3</v>
      </c>
    </row>
    <row r="440" spans="1:11" x14ac:dyDescent="0.3">
      <c r="A440">
        <v>68</v>
      </c>
      <c r="B440">
        <v>1</v>
      </c>
      <c r="C440">
        <v>0</v>
      </c>
      <c r="D440">
        <v>1</v>
      </c>
      <c r="E440">
        <v>1</v>
      </c>
      <c r="F440">
        <v>1</v>
      </c>
      <c r="G440">
        <v>1</v>
      </c>
      <c r="H440">
        <v>1</v>
      </c>
      <c r="I440">
        <v>11</v>
      </c>
      <c r="J440">
        <v>212</v>
      </c>
      <c r="K440">
        <v>3</v>
      </c>
    </row>
    <row r="441" spans="1:11" x14ac:dyDescent="0.3">
      <c r="A441">
        <v>39</v>
      </c>
      <c r="B441">
        <v>1</v>
      </c>
      <c r="C441">
        <v>1</v>
      </c>
      <c r="D441">
        <v>0</v>
      </c>
      <c r="E441">
        <v>0</v>
      </c>
      <c r="F441">
        <v>0</v>
      </c>
      <c r="G441">
        <v>0</v>
      </c>
      <c r="H441">
        <v>1</v>
      </c>
      <c r="I441">
        <v>17</v>
      </c>
      <c r="J441">
        <v>248</v>
      </c>
      <c r="K441">
        <v>2</v>
      </c>
    </row>
    <row r="442" spans="1:11" x14ac:dyDescent="0.3">
      <c r="A442">
        <v>50</v>
      </c>
      <c r="B442">
        <v>1</v>
      </c>
      <c r="C442">
        <v>1</v>
      </c>
      <c r="D442">
        <v>1</v>
      </c>
      <c r="E442">
        <v>0</v>
      </c>
      <c r="F442">
        <v>0</v>
      </c>
      <c r="G442">
        <v>1</v>
      </c>
      <c r="H442">
        <v>1</v>
      </c>
      <c r="I442">
        <v>16</v>
      </c>
      <c r="J442">
        <v>235</v>
      </c>
      <c r="K442">
        <v>3</v>
      </c>
    </row>
    <row r="443" spans="1:11" x14ac:dyDescent="0.3">
      <c r="A443">
        <v>39</v>
      </c>
      <c r="B443">
        <v>1</v>
      </c>
      <c r="C443">
        <v>1</v>
      </c>
      <c r="D443">
        <v>1</v>
      </c>
      <c r="E443">
        <v>0</v>
      </c>
      <c r="F443">
        <v>0</v>
      </c>
      <c r="G443">
        <v>1</v>
      </c>
      <c r="H443">
        <v>0</v>
      </c>
      <c r="I443">
        <v>15</v>
      </c>
      <c r="J443">
        <v>216</v>
      </c>
      <c r="K443">
        <v>3</v>
      </c>
    </row>
    <row r="444" spans="1:11" x14ac:dyDescent="0.3">
      <c r="A444">
        <v>57</v>
      </c>
      <c r="B444">
        <v>1</v>
      </c>
      <c r="C444">
        <v>1</v>
      </c>
      <c r="D444">
        <v>1</v>
      </c>
      <c r="E444">
        <v>0</v>
      </c>
      <c r="F444">
        <v>0</v>
      </c>
      <c r="G444">
        <v>0</v>
      </c>
      <c r="H444">
        <v>1</v>
      </c>
      <c r="I444">
        <v>16</v>
      </c>
      <c r="J444">
        <v>168</v>
      </c>
      <c r="K444">
        <v>2</v>
      </c>
    </row>
    <row r="445" spans="1:11" x14ac:dyDescent="0.3">
      <c r="A445">
        <v>58</v>
      </c>
      <c r="B445">
        <v>0</v>
      </c>
      <c r="C445">
        <v>0</v>
      </c>
      <c r="D445">
        <v>1</v>
      </c>
      <c r="E445">
        <v>1</v>
      </c>
      <c r="F445">
        <v>1</v>
      </c>
      <c r="G445">
        <v>1</v>
      </c>
      <c r="H445">
        <v>1</v>
      </c>
      <c r="I445">
        <v>14</v>
      </c>
      <c r="J445">
        <v>195</v>
      </c>
      <c r="K445">
        <v>3</v>
      </c>
    </row>
    <row r="446" spans="1:11" x14ac:dyDescent="0.3">
      <c r="A446">
        <v>34</v>
      </c>
      <c r="B446">
        <v>0</v>
      </c>
      <c r="C446">
        <v>1</v>
      </c>
      <c r="D446">
        <v>1</v>
      </c>
      <c r="E446">
        <v>1</v>
      </c>
      <c r="F446">
        <v>0</v>
      </c>
      <c r="G446">
        <v>0</v>
      </c>
      <c r="H446">
        <v>1</v>
      </c>
      <c r="I446">
        <v>15</v>
      </c>
      <c r="J446">
        <v>172</v>
      </c>
      <c r="K446">
        <v>1</v>
      </c>
    </row>
    <row r="447" spans="1:11" x14ac:dyDescent="0.3">
      <c r="A447">
        <v>44</v>
      </c>
      <c r="B447">
        <v>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v>1</v>
      </c>
      <c r="I447">
        <v>22</v>
      </c>
      <c r="J447">
        <v>169</v>
      </c>
      <c r="K447">
        <v>1</v>
      </c>
    </row>
    <row r="448" spans="1:11" x14ac:dyDescent="0.3">
      <c r="A448">
        <v>45</v>
      </c>
      <c r="B448">
        <v>1</v>
      </c>
      <c r="C448">
        <v>1</v>
      </c>
      <c r="D448">
        <v>1</v>
      </c>
      <c r="E448">
        <v>1</v>
      </c>
      <c r="F448">
        <v>0</v>
      </c>
      <c r="G448">
        <v>0</v>
      </c>
      <c r="H448">
        <v>0</v>
      </c>
      <c r="I448">
        <v>12</v>
      </c>
      <c r="J448">
        <v>210</v>
      </c>
      <c r="K448">
        <v>2</v>
      </c>
    </row>
    <row r="449" spans="1:11" x14ac:dyDescent="0.3">
      <c r="A449">
        <v>55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1</v>
      </c>
      <c r="I449">
        <v>13</v>
      </c>
      <c r="J449">
        <v>246</v>
      </c>
      <c r="K449">
        <v>1</v>
      </c>
    </row>
    <row r="450" spans="1:11" x14ac:dyDescent="0.3">
      <c r="A450">
        <v>49</v>
      </c>
      <c r="B450">
        <v>1</v>
      </c>
      <c r="C450">
        <v>1</v>
      </c>
      <c r="D450">
        <v>0</v>
      </c>
      <c r="E450">
        <v>1</v>
      </c>
      <c r="F450">
        <v>0</v>
      </c>
      <c r="G450">
        <v>1</v>
      </c>
      <c r="H450">
        <v>1</v>
      </c>
      <c r="I450">
        <v>14</v>
      </c>
      <c r="J450">
        <v>205</v>
      </c>
      <c r="K450">
        <v>3</v>
      </c>
    </row>
    <row r="451" spans="1:11" x14ac:dyDescent="0.3">
      <c r="A451">
        <v>43</v>
      </c>
      <c r="B451">
        <v>0</v>
      </c>
      <c r="C451">
        <v>0</v>
      </c>
      <c r="D451">
        <v>1</v>
      </c>
      <c r="E451">
        <v>0</v>
      </c>
      <c r="F451">
        <v>0</v>
      </c>
      <c r="G451">
        <v>0</v>
      </c>
      <c r="H451">
        <v>0</v>
      </c>
      <c r="I451">
        <v>17</v>
      </c>
      <c r="J451">
        <v>204</v>
      </c>
      <c r="K451">
        <v>1</v>
      </c>
    </row>
    <row r="452" spans="1:11" x14ac:dyDescent="0.3">
      <c r="A452">
        <v>64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11</v>
      </c>
      <c r="J452">
        <v>207</v>
      </c>
      <c r="K452">
        <v>1</v>
      </c>
    </row>
    <row r="453" spans="1:11" x14ac:dyDescent="0.3">
      <c r="A453">
        <v>49</v>
      </c>
      <c r="B453">
        <v>1</v>
      </c>
      <c r="C453">
        <v>0</v>
      </c>
      <c r="D453">
        <v>1</v>
      </c>
      <c r="E453">
        <v>0</v>
      </c>
      <c r="F453">
        <v>0</v>
      </c>
      <c r="G453">
        <v>0</v>
      </c>
      <c r="H453">
        <v>1</v>
      </c>
      <c r="I453">
        <v>13</v>
      </c>
      <c r="J453">
        <v>234</v>
      </c>
      <c r="K453">
        <v>3</v>
      </c>
    </row>
    <row r="454" spans="1:11" x14ac:dyDescent="0.3">
      <c r="A454">
        <v>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  <c r="I454">
        <v>11</v>
      </c>
      <c r="J454">
        <v>211</v>
      </c>
      <c r="K454">
        <v>3</v>
      </c>
    </row>
    <row r="455" spans="1:11" x14ac:dyDescent="0.3">
      <c r="A455">
        <v>61</v>
      </c>
      <c r="B455">
        <v>1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1</v>
      </c>
      <c r="I455">
        <v>17</v>
      </c>
      <c r="J455">
        <v>229</v>
      </c>
      <c r="K455">
        <v>3</v>
      </c>
    </row>
    <row r="456" spans="1:11" x14ac:dyDescent="0.3">
      <c r="A456">
        <v>45</v>
      </c>
      <c r="B456">
        <v>1</v>
      </c>
      <c r="C456">
        <v>0</v>
      </c>
      <c r="D456">
        <v>0</v>
      </c>
      <c r="E456">
        <v>1</v>
      </c>
      <c r="F456">
        <v>1</v>
      </c>
      <c r="G456">
        <v>0</v>
      </c>
      <c r="H456">
        <v>0</v>
      </c>
      <c r="I456">
        <v>10</v>
      </c>
      <c r="J456">
        <v>209</v>
      </c>
      <c r="K456">
        <v>3</v>
      </c>
    </row>
    <row r="457" spans="1:11" x14ac:dyDescent="0.3">
      <c r="A457">
        <v>55</v>
      </c>
      <c r="B457">
        <v>1</v>
      </c>
      <c r="C457">
        <v>0</v>
      </c>
      <c r="D457">
        <v>1</v>
      </c>
      <c r="E457">
        <v>0</v>
      </c>
      <c r="F457">
        <v>0</v>
      </c>
      <c r="G457">
        <v>1</v>
      </c>
      <c r="H457">
        <v>1</v>
      </c>
      <c r="I457">
        <v>14</v>
      </c>
      <c r="J457">
        <v>228</v>
      </c>
      <c r="K457">
        <v>3</v>
      </c>
    </row>
    <row r="458" spans="1:11" x14ac:dyDescent="0.3">
      <c r="A458">
        <v>57</v>
      </c>
      <c r="B458">
        <v>0</v>
      </c>
      <c r="C458">
        <v>1</v>
      </c>
      <c r="D458">
        <v>1</v>
      </c>
      <c r="E458">
        <v>1</v>
      </c>
      <c r="F458">
        <v>1</v>
      </c>
      <c r="G458">
        <v>0</v>
      </c>
      <c r="H458">
        <v>1</v>
      </c>
      <c r="I458">
        <v>8</v>
      </c>
      <c r="J458">
        <v>213</v>
      </c>
      <c r="K458">
        <v>3</v>
      </c>
    </row>
    <row r="459" spans="1:11" x14ac:dyDescent="0.3">
      <c r="A459">
        <v>45</v>
      </c>
      <c r="B459">
        <v>0</v>
      </c>
      <c r="C459">
        <v>1</v>
      </c>
      <c r="D459">
        <v>0</v>
      </c>
      <c r="E459">
        <v>1</v>
      </c>
      <c r="F459">
        <v>0</v>
      </c>
      <c r="G459">
        <v>0</v>
      </c>
      <c r="H459">
        <v>1</v>
      </c>
      <c r="I459">
        <v>19</v>
      </c>
      <c r="J459">
        <v>211</v>
      </c>
      <c r="K459">
        <v>2</v>
      </c>
    </row>
    <row r="460" spans="1:11" x14ac:dyDescent="0.3">
      <c r="A460">
        <v>65</v>
      </c>
      <c r="B460">
        <v>0</v>
      </c>
      <c r="C460">
        <v>0</v>
      </c>
      <c r="D460">
        <v>0</v>
      </c>
      <c r="E460">
        <v>0</v>
      </c>
      <c r="F460">
        <v>1</v>
      </c>
      <c r="G460">
        <v>1</v>
      </c>
      <c r="H460">
        <v>1</v>
      </c>
      <c r="I460">
        <v>16</v>
      </c>
      <c r="J460">
        <v>216</v>
      </c>
      <c r="K460">
        <v>1</v>
      </c>
    </row>
    <row r="461" spans="1:11" x14ac:dyDescent="0.3">
      <c r="A461">
        <v>62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</v>
      </c>
      <c r="I461">
        <v>14</v>
      </c>
      <c r="J461">
        <v>234</v>
      </c>
      <c r="K461">
        <v>3</v>
      </c>
    </row>
    <row r="462" spans="1:11" x14ac:dyDescent="0.3">
      <c r="A462">
        <v>42</v>
      </c>
      <c r="B462">
        <v>0</v>
      </c>
      <c r="C462">
        <v>0</v>
      </c>
      <c r="D462">
        <v>1</v>
      </c>
      <c r="E462">
        <v>0</v>
      </c>
      <c r="F462">
        <v>1</v>
      </c>
      <c r="G462">
        <v>1</v>
      </c>
      <c r="H462">
        <v>0</v>
      </c>
      <c r="I462">
        <v>17</v>
      </c>
      <c r="J462">
        <v>214</v>
      </c>
      <c r="K462">
        <v>1</v>
      </c>
    </row>
    <row r="463" spans="1:11" x14ac:dyDescent="0.3">
      <c r="A463">
        <v>53</v>
      </c>
      <c r="B463">
        <v>0</v>
      </c>
      <c r="C463">
        <v>1</v>
      </c>
      <c r="D463">
        <v>0</v>
      </c>
      <c r="E463">
        <v>0</v>
      </c>
      <c r="F463">
        <v>1</v>
      </c>
      <c r="G463">
        <v>0</v>
      </c>
      <c r="H463">
        <v>0</v>
      </c>
      <c r="I463">
        <v>12</v>
      </c>
      <c r="J463">
        <v>228</v>
      </c>
      <c r="K463">
        <v>1</v>
      </c>
    </row>
    <row r="464" spans="1:11" x14ac:dyDescent="0.3">
      <c r="A464">
        <v>54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1</v>
      </c>
      <c r="H464">
        <v>1</v>
      </c>
      <c r="I464">
        <v>16</v>
      </c>
      <c r="J464">
        <v>208</v>
      </c>
      <c r="K464">
        <v>1</v>
      </c>
    </row>
    <row r="465" spans="1:11" x14ac:dyDescent="0.3">
      <c r="A465">
        <v>49</v>
      </c>
      <c r="B465">
        <v>0</v>
      </c>
      <c r="C465">
        <v>1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13</v>
      </c>
      <c r="J465">
        <v>210</v>
      </c>
      <c r="K465">
        <v>1</v>
      </c>
    </row>
    <row r="466" spans="1:11" x14ac:dyDescent="0.3">
      <c r="A466">
        <v>46</v>
      </c>
      <c r="B466">
        <v>1</v>
      </c>
      <c r="C466">
        <v>1</v>
      </c>
      <c r="D466">
        <v>1</v>
      </c>
      <c r="E466">
        <v>0</v>
      </c>
      <c r="F466">
        <v>0</v>
      </c>
      <c r="G466">
        <v>1</v>
      </c>
      <c r="H466">
        <v>0</v>
      </c>
      <c r="I466">
        <v>18</v>
      </c>
      <c r="J466">
        <v>188</v>
      </c>
      <c r="K466">
        <v>3</v>
      </c>
    </row>
    <row r="467" spans="1:11" x14ac:dyDescent="0.3">
      <c r="A467">
        <v>40</v>
      </c>
      <c r="B467">
        <v>1</v>
      </c>
      <c r="C467">
        <v>1</v>
      </c>
      <c r="D467">
        <v>0</v>
      </c>
      <c r="E467">
        <v>0</v>
      </c>
      <c r="F467">
        <v>1</v>
      </c>
      <c r="G467">
        <v>0</v>
      </c>
      <c r="H467">
        <v>1</v>
      </c>
      <c r="I467">
        <v>12</v>
      </c>
      <c r="J467">
        <v>200</v>
      </c>
      <c r="K467">
        <v>3</v>
      </c>
    </row>
    <row r="468" spans="1:11" x14ac:dyDescent="0.3">
      <c r="A468">
        <v>45</v>
      </c>
      <c r="B468">
        <v>1</v>
      </c>
      <c r="C468">
        <v>0</v>
      </c>
      <c r="D468">
        <v>1</v>
      </c>
      <c r="E468">
        <v>1</v>
      </c>
      <c r="F468">
        <v>0</v>
      </c>
      <c r="G468">
        <v>0</v>
      </c>
      <c r="H468">
        <v>0</v>
      </c>
      <c r="I468">
        <v>20</v>
      </c>
      <c r="J468">
        <v>180</v>
      </c>
      <c r="K468">
        <v>3</v>
      </c>
    </row>
    <row r="469" spans="1:11" x14ac:dyDescent="0.3">
      <c r="A469">
        <v>48</v>
      </c>
      <c r="B469">
        <v>0</v>
      </c>
      <c r="C469">
        <v>1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14</v>
      </c>
      <c r="J469">
        <v>193</v>
      </c>
      <c r="K469">
        <v>3</v>
      </c>
    </row>
    <row r="470" spans="1:11" x14ac:dyDescent="0.3">
      <c r="A470">
        <v>35</v>
      </c>
      <c r="B470">
        <v>0</v>
      </c>
      <c r="C470">
        <v>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19</v>
      </c>
      <c r="J470">
        <v>236</v>
      </c>
      <c r="K470">
        <v>1</v>
      </c>
    </row>
    <row r="471" spans="1:11" x14ac:dyDescent="0.3">
      <c r="A471">
        <v>43</v>
      </c>
      <c r="B471">
        <v>0</v>
      </c>
      <c r="C471">
        <v>1</v>
      </c>
      <c r="D471">
        <v>0</v>
      </c>
      <c r="E471">
        <v>0</v>
      </c>
      <c r="F471">
        <v>0</v>
      </c>
      <c r="G471">
        <v>0</v>
      </c>
      <c r="H471">
        <v>1</v>
      </c>
      <c r="I471">
        <v>15</v>
      </c>
      <c r="J471">
        <v>212</v>
      </c>
      <c r="K471">
        <v>1</v>
      </c>
    </row>
    <row r="472" spans="1:11" x14ac:dyDescent="0.3">
      <c r="A472">
        <v>32</v>
      </c>
      <c r="B472">
        <v>1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14</v>
      </c>
      <c r="J472">
        <v>180</v>
      </c>
      <c r="K472">
        <v>1</v>
      </c>
    </row>
    <row r="473" spans="1:11" x14ac:dyDescent="0.3">
      <c r="A473">
        <v>44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1</v>
      </c>
      <c r="I473">
        <v>14</v>
      </c>
      <c r="J473">
        <v>191</v>
      </c>
      <c r="K473">
        <v>1</v>
      </c>
    </row>
    <row r="474" spans="1:11" x14ac:dyDescent="0.3">
      <c r="A474">
        <v>59</v>
      </c>
      <c r="B474">
        <v>1</v>
      </c>
      <c r="C474">
        <v>1</v>
      </c>
      <c r="D474">
        <v>1</v>
      </c>
      <c r="E474">
        <v>0</v>
      </c>
      <c r="F474">
        <v>0</v>
      </c>
      <c r="G474">
        <v>0</v>
      </c>
      <c r="H474">
        <v>1</v>
      </c>
      <c r="I474">
        <v>10</v>
      </c>
      <c r="J474">
        <v>232</v>
      </c>
      <c r="K474">
        <v>3</v>
      </c>
    </row>
    <row r="475" spans="1:11" x14ac:dyDescent="0.3">
      <c r="A475">
        <v>46</v>
      </c>
      <c r="B475">
        <v>1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13</v>
      </c>
      <c r="J475">
        <v>195</v>
      </c>
      <c r="K475">
        <v>1</v>
      </c>
    </row>
    <row r="476" spans="1:11" x14ac:dyDescent="0.3">
      <c r="A476">
        <v>52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1</v>
      </c>
      <c r="I476">
        <v>20</v>
      </c>
      <c r="J476">
        <v>210</v>
      </c>
      <c r="K476">
        <v>3</v>
      </c>
    </row>
    <row r="477" spans="1:11" x14ac:dyDescent="0.3">
      <c r="A477">
        <v>48</v>
      </c>
      <c r="B477">
        <v>0</v>
      </c>
      <c r="C477">
        <v>0</v>
      </c>
      <c r="D477">
        <v>1</v>
      </c>
      <c r="E477">
        <v>0</v>
      </c>
      <c r="F477">
        <v>1</v>
      </c>
      <c r="G477">
        <v>0</v>
      </c>
      <c r="H477">
        <v>0</v>
      </c>
      <c r="I477">
        <v>13</v>
      </c>
      <c r="J477">
        <v>199</v>
      </c>
      <c r="K477">
        <v>1</v>
      </c>
    </row>
    <row r="478" spans="1:11" x14ac:dyDescent="0.3">
      <c r="A478">
        <v>53</v>
      </c>
      <c r="B478">
        <v>1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1</v>
      </c>
      <c r="I478">
        <v>14</v>
      </c>
      <c r="J478">
        <v>223</v>
      </c>
      <c r="K478">
        <v>2</v>
      </c>
    </row>
    <row r="479" spans="1:11" x14ac:dyDescent="0.3">
      <c r="A479">
        <v>59</v>
      </c>
      <c r="B479">
        <v>0</v>
      </c>
      <c r="C479">
        <v>0</v>
      </c>
      <c r="D479">
        <v>0</v>
      </c>
      <c r="E479">
        <v>1</v>
      </c>
      <c r="F479">
        <v>1</v>
      </c>
      <c r="G479">
        <v>1</v>
      </c>
      <c r="H479">
        <v>0</v>
      </c>
      <c r="I479">
        <v>17</v>
      </c>
      <c r="J479">
        <v>200</v>
      </c>
      <c r="K479">
        <v>1</v>
      </c>
    </row>
    <row r="480" spans="1:11" x14ac:dyDescent="0.3">
      <c r="A480">
        <v>42</v>
      </c>
      <c r="B480">
        <v>0</v>
      </c>
      <c r="C480">
        <v>1</v>
      </c>
      <c r="D480">
        <v>0</v>
      </c>
      <c r="E480">
        <v>0</v>
      </c>
      <c r="F480">
        <v>0</v>
      </c>
      <c r="G480">
        <v>0</v>
      </c>
      <c r="H480">
        <v>1</v>
      </c>
      <c r="I480">
        <v>20</v>
      </c>
      <c r="J480">
        <v>147</v>
      </c>
      <c r="K480">
        <v>1</v>
      </c>
    </row>
    <row r="481" spans="1:11" x14ac:dyDescent="0.3">
      <c r="A481">
        <v>61</v>
      </c>
      <c r="B481">
        <v>1</v>
      </c>
      <c r="C481">
        <v>1</v>
      </c>
      <c r="D481">
        <v>1</v>
      </c>
      <c r="E481">
        <v>1</v>
      </c>
      <c r="F481">
        <v>0</v>
      </c>
      <c r="G481">
        <v>0</v>
      </c>
      <c r="H481">
        <v>1</v>
      </c>
      <c r="I481">
        <v>10</v>
      </c>
      <c r="J481">
        <v>212</v>
      </c>
      <c r="K481">
        <v>3</v>
      </c>
    </row>
    <row r="482" spans="1:11" x14ac:dyDescent="0.3">
      <c r="A482">
        <v>55</v>
      </c>
      <c r="B482">
        <v>1</v>
      </c>
      <c r="C482">
        <v>1</v>
      </c>
      <c r="D482">
        <v>0</v>
      </c>
      <c r="E482">
        <v>0</v>
      </c>
      <c r="F482">
        <v>1</v>
      </c>
      <c r="G482">
        <v>1</v>
      </c>
      <c r="H482">
        <v>1</v>
      </c>
      <c r="I482">
        <v>18</v>
      </c>
      <c r="J482">
        <v>209</v>
      </c>
      <c r="K482">
        <v>3</v>
      </c>
    </row>
    <row r="483" spans="1:11" x14ac:dyDescent="0.3">
      <c r="A483">
        <v>52</v>
      </c>
      <c r="B483">
        <v>0</v>
      </c>
      <c r="C483">
        <v>0</v>
      </c>
      <c r="D483">
        <v>1</v>
      </c>
      <c r="E483">
        <v>0</v>
      </c>
      <c r="F483">
        <v>0</v>
      </c>
      <c r="G483">
        <v>1</v>
      </c>
      <c r="H483">
        <v>1</v>
      </c>
      <c r="I483">
        <v>10</v>
      </c>
      <c r="J483">
        <v>200</v>
      </c>
      <c r="K483">
        <v>1</v>
      </c>
    </row>
    <row r="484" spans="1:11" x14ac:dyDescent="0.3">
      <c r="A484">
        <v>42</v>
      </c>
      <c r="B484">
        <v>1</v>
      </c>
      <c r="C484">
        <v>0</v>
      </c>
      <c r="D484">
        <v>0</v>
      </c>
      <c r="E484">
        <v>0</v>
      </c>
      <c r="F484">
        <v>0</v>
      </c>
      <c r="G484">
        <v>1</v>
      </c>
      <c r="H484">
        <v>0</v>
      </c>
      <c r="I484">
        <v>19</v>
      </c>
      <c r="J484">
        <v>244</v>
      </c>
      <c r="K484">
        <v>3</v>
      </c>
    </row>
    <row r="485" spans="1:11" x14ac:dyDescent="0.3">
      <c r="A485">
        <v>53</v>
      </c>
      <c r="B485">
        <v>1</v>
      </c>
      <c r="C485">
        <v>0</v>
      </c>
      <c r="D485">
        <v>1</v>
      </c>
      <c r="E485">
        <v>1</v>
      </c>
      <c r="F485">
        <v>0</v>
      </c>
      <c r="G485">
        <v>1</v>
      </c>
      <c r="H485">
        <v>1</v>
      </c>
      <c r="I485">
        <v>20</v>
      </c>
      <c r="J485">
        <v>201</v>
      </c>
      <c r="K485">
        <v>3</v>
      </c>
    </row>
    <row r="486" spans="1:11" x14ac:dyDescent="0.3">
      <c r="A486">
        <v>42</v>
      </c>
      <c r="B486">
        <v>1</v>
      </c>
      <c r="C486">
        <v>1</v>
      </c>
      <c r="D486">
        <v>0</v>
      </c>
      <c r="E486">
        <v>0</v>
      </c>
      <c r="F486">
        <v>0</v>
      </c>
      <c r="G486">
        <v>1</v>
      </c>
      <c r="H486">
        <v>0</v>
      </c>
      <c r="I486">
        <v>17</v>
      </c>
      <c r="J486">
        <v>206</v>
      </c>
      <c r="K486">
        <v>2</v>
      </c>
    </row>
    <row r="487" spans="1:11" x14ac:dyDescent="0.3">
      <c r="A487">
        <v>58</v>
      </c>
      <c r="B487">
        <v>0</v>
      </c>
      <c r="C487">
        <v>1</v>
      </c>
      <c r="D487">
        <v>0</v>
      </c>
      <c r="E487">
        <v>1</v>
      </c>
      <c r="F487">
        <v>0</v>
      </c>
      <c r="G487">
        <v>0</v>
      </c>
      <c r="H487">
        <v>1</v>
      </c>
      <c r="I487">
        <v>14</v>
      </c>
      <c r="J487">
        <v>213</v>
      </c>
      <c r="K487">
        <v>3</v>
      </c>
    </row>
    <row r="488" spans="1:11" x14ac:dyDescent="0.3">
      <c r="A488">
        <v>47</v>
      </c>
      <c r="B488">
        <v>0</v>
      </c>
      <c r="C488">
        <v>1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18</v>
      </c>
      <c r="J488">
        <v>203</v>
      </c>
      <c r="K488">
        <v>3</v>
      </c>
    </row>
    <row r="489" spans="1:11" x14ac:dyDescent="0.3">
      <c r="A489">
        <v>60</v>
      </c>
      <c r="B489">
        <v>0</v>
      </c>
      <c r="C489">
        <v>1</v>
      </c>
      <c r="D489">
        <v>0</v>
      </c>
      <c r="E489">
        <v>0</v>
      </c>
      <c r="F489">
        <v>0</v>
      </c>
      <c r="G489">
        <v>0</v>
      </c>
      <c r="H489">
        <v>1</v>
      </c>
      <c r="I489">
        <v>13</v>
      </c>
      <c r="J489">
        <v>196</v>
      </c>
      <c r="K489">
        <v>1</v>
      </c>
    </row>
    <row r="490" spans="1:11" x14ac:dyDescent="0.3">
      <c r="A490">
        <v>47</v>
      </c>
      <c r="B490">
        <v>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15</v>
      </c>
      <c r="J490">
        <v>194</v>
      </c>
      <c r="K490">
        <v>1</v>
      </c>
    </row>
    <row r="491" spans="1:11" x14ac:dyDescent="0.3">
      <c r="A491">
        <v>48</v>
      </c>
      <c r="B491">
        <v>1</v>
      </c>
      <c r="C491">
        <v>1</v>
      </c>
      <c r="D491">
        <v>1</v>
      </c>
      <c r="E491">
        <v>0</v>
      </c>
      <c r="F491">
        <v>0</v>
      </c>
      <c r="G491">
        <v>0</v>
      </c>
      <c r="H491">
        <v>0</v>
      </c>
      <c r="I491">
        <v>19</v>
      </c>
      <c r="J491">
        <v>205</v>
      </c>
      <c r="K491">
        <v>3</v>
      </c>
    </row>
    <row r="492" spans="1:11" x14ac:dyDescent="0.3">
      <c r="A492">
        <v>60</v>
      </c>
      <c r="B492">
        <v>1</v>
      </c>
      <c r="C492">
        <v>1</v>
      </c>
      <c r="D492">
        <v>1</v>
      </c>
      <c r="E492">
        <v>0</v>
      </c>
      <c r="F492">
        <v>0</v>
      </c>
      <c r="G492">
        <v>0</v>
      </c>
      <c r="H492">
        <v>1</v>
      </c>
      <c r="I492">
        <v>10</v>
      </c>
      <c r="J492">
        <v>243</v>
      </c>
      <c r="K492">
        <v>3</v>
      </c>
    </row>
    <row r="493" spans="1:11" x14ac:dyDescent="0.3">
      <c r="A493">
        <v>41</v>
      </c>
      <c r="B493">
        <v>1</v>
      </c>
      <c r="C493">
        <v>0</v>
      </c>
      <c r="D493">
        <v>1</v>
      </c>
      <c r="E493">
        <v>1</v>
      </c>
      <c r="F493">
        <v>0</v>
      </c>
      <c r="G493">
        <v>0</v>
      </c>
      <c r="H493">
        <v>1</v>
      </c>
      <c r="I493">
        <v>18</v>
      </c>
      <c r="J493">
        <v>221</v>
      </c>
      <c r="K493">
        <v>3</v>
      </c>
    </row>
    <row r="494" spans="1:11" x14ac:dyDescent="0.3">
      <c r="A494">
        <v>42</v>
      </c>
      <c r="B494">
        <v>0</v>
      </c>
      <c r="C494">
        <v>0</v>
      </c>
      <c r="D494">
        <v>1</v>
      </c>
      <c r="E494">
        <v>1</v>
      </c>
      <c r="F494">
        <v>1</v>
      </c>
      <c r="G494">
        <v>0</v>
      </c>
      <c r="H494">
        <v>1</v>
      </c>
      <c r="I494">
        <v>17</v>
      </c>
      <c r="J494">
        <v>189</v>
      </c>
      <c r="K494">
        <v>3</v>
      </c>
    </row>
    <row r="495" spans="1:11" x14ac:dyDescent="0.3">
      <c r="A495">
        <v>62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1</v>
      </c>
      <c r="H495">
        <v>0</v>
      </c>
      <c r="I495">
        <v>14</v>
      </c>
      <c r="J495">
        <v>223</v>
      </c>
      <c r="K495">
        <v>1</v>
      </c>
    </row>
    <row r="496" spans="1:11" x14ac:dyDescent="0.3">
      <c r="A496">
        <v>50</v>
      </c>
      <c r="B496">
        <v>1</v>
      </c>
      <c r="C496">
        <v>1</v>
      </c>
      <c r="D496">
        <v>1</v>
      </c>
      <c r="E496">
        <v>1</v>
      </c>
      <c r="F496">
        <v>1</v>
      </c>
      <c r="G496">
        <v>0</v>
      </c>
      <c r="H496">
        <v>1</v>
      </c>
      <c r="I496">
        <v>15</v>
      </c>
      <c r="J496">
        <v>224</v>
      </c>
      <c r="K496">
        <v>2</v>
      </c>
    </row>
    <row r="497" spans="1:11" x14ac:dyDescent="0.3">
      <c r="A497">
        <v>34</v>
      </c>
      <c r="B497">
        <v>0</v>
      </c>
      <c r="C497">
        <v>0</v>
      </c>
      <c r="D497">
        <v>1</v>
      </c>
      <c r="E497">
        <v>1</v>
      </c>
      <c r="F497">
        <v>1</v>
      </c>
      <c r="G497">
        <v>0</v>
      </c>
      <c r="H497">
        <v>0</v>
      </c>
      <c r="I497">
        <v>13</v>
      </c>
      <c r="J497">
        <v>214</v>
      </c>
      <c r="K497">
        <v>2</v>
      </c>
    </row>
    <row r="498" spans="1:11" x14ac:dyDescent="0.3">
      <c r="A498">
        <v>45</v>
      </c>
      <c r="B498">
        <v>1</v>
      </c>
      <c r="C498">
        <v>0</v>
      </c>
      <c r="D498">
        <v>1</v>
      </c>
      <c r="E498">
        <v>0</v>
      </c>
      <c r="F498">
        <v>1</v>
      </c>
      <c r="G498">
        <v>0</v>
      </c>
      <c r="H498">
        <v>1</v>
      </c>
      <c r="I498">
        <v>14</v>
      </c>
      <c r="J498">
        <v>192</v>
      </c>
      <c r="K498">
        <v>2</v>
      </c>
    </row>
    <row r="499" spans="1:11" x14ac:dyDescent="0.3">
      <c r="A499">
        <v>53</v>
      </c>
      <c r="B499">
        <v>1</v>
      </c>
      <c r="C499">
        <v>1</v>
      </c>
      <c r="D499">
        <v>1</v>
      </c>
      <c r="E499">
        <v>1</v>
      </c>
      <c r="F499">
        <v>0</v>
      </c>
      <c r="G499">
        <v>0</v>
      </c>
      <c r="H499">
        <v>0</v>
      </c>
      <c r="I499">
        <v>14</v>
      </c>
      <c r="J499">
        <v>223</v>
      </c>
      <c r="K499">
        <v>3</v>
      </c>
    </row>
    <row r="500" spans="1:11" x14ac:dyDescent="0.3">
      <c r="A500">
        <v>49</v>
      </c>
      <c r="B500">
        <v>0</v>
      </c>
      <c r="C500">
        <v>1</v>
      </c>
      <c r="D500">
        <v>0</v>
      </c>
      <c r="E500">
        <v>1</v>
      </c>
      <c r="F500">
        <v>0</v>
      </c>
      <c r="G500">
        <v>0</v>
      </c>
      <c r="H500">
        <v>1</v>
      </c>
      <c r="I500">
        <v>13</v>
      </c>
      <c r="J500">
        <v>203</v>
      </c>
      <c r="K500">
        <v>2</v>
      </c>
    </row>
    <row r="501" spans="1:11" x14ac:dyDescent="0.3">
      <c r="A501">
        <v>67</v>
      </c>
      <c r="B501">
        <v>0</v>
      </c>
      <c r="C501">
        <v>0</v>
      </c>
      <c r="D501">
        <v>1</v>
      </c>
      <c r="E501">
        <v>0</v>
      </c>
      <c r="F501">
        <v>0</v>
      </c>
      <c r="G501">
        <v>0</v>
      </c>
      <c r="H501">
        <v>1</v>
      </c>
      <c r="I501">
        <v>20</v>
      </c>
      <c r="J501">
        <v>244</v>
      </c>
      <c r="K501">
        <v>2</v>
      </c>
    </row>
    <row r="502" spans="1:11" x14ac:dyDescent="0.3">
      <c r="A502">
        <v>24</v>
      </c>
      <c r="B502">
        <v>0</v>
      </c>
      <c r="C502">
        <v>0</v>
      </c>
      <c r="D502">
        <v>0</v>
      </c>
      <c r="E502">
        <v>0</v>
      </c>
      <c r="F502">
        <v>1</v>
      </c>
      <c r="G502">
        <v>1</v>
      </c>
      <c r="H502">
        <v>0</v>
      </c>
      <c r="I502">
        <v>14</v>
      </c>
      <c r="J502">
        <v>220</v>
      </c>
      <c r="K502">
        <v>1</v>
      </c>
    </row>
    <row r="503" spans="1:11" x14ac:dyDescent="0.3">
      <c r="A503">
        <v>53</v>
      </c>
      <c r="B503">
        <v>0</v>
      </c>
      <c r="C503">
        <v>1</v>
      </c>
      <c r="D503">
        <v>1</v>
      </c>
      <c r="E503">
        <v>1</v>
      </c>
      <c r="F503">
        <v>0</v>
      </c>
      <c r="G503">
        <v>1</v>
      </c>
      <c r="H503">
        <v>0</v>
      </c>
      <c r="I503">
        <v>15</v>
      </c>
      <c r="J503">
        <v>229</v>
      </c>
      <c r="K503">
        <v>2</v>
      </c>
    </row>
    <row r="504" spans="1:11" x14ac:dyDescent="0.3">
      <c r="A504">
        <v>48</v>
      </c>
      <c r="B504">
        <v>1</v>
      </c>
      <c r="C504">
        <v>1</v>
      </c>
      <c r="D504">
        <v>1</v>
      </c>
      <c r="E504">
        <v>1</v>
      </c>
      <c r="F504">
        <v>1</v>
      </c>
      <c r="G504">
        <v>0</v>
      </c>
      <c r="H504">
        <v>1</v>
      </c>
      <c r="I504">
        <v>14</v>
      </c>
      <c r="J504">
        <v>227</v>
      </c>
      <c r="K504">
        <v>3</v>
      </c>
    </row>
    <row r="505" spans="1:11" x14ac:dyDescent="0.3">
      <c r="A505">
        <v>66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15</v>
      </c>
      <c r="J505">
        <v>219</v>
      </c>
      <c r="K505">
        <v>1</v>
      </c>
    </row>
    <row r="506" spans="1:11" x14ac:dyDescent="0.3">
      <c r="A506">
        <v>51</v>
      </c>
      <c r="B506">
        <v>0</v>
      </c>
      <c r="C506">
        <v>1</v>
      </c>
      <c r="D506">
        <v>1</v>
      </c>
      <c r="E506">
        <v>1</v>
      </c>
      <c r="F506">
        <v>0</v>
      </c>
      <c r="G506">
        <v>1</v>
      </c>
      <c r="H506">
        <v>0</v>
      </c>
      <c r="I506">
        <v>15</v>
      </c>
      <c r="J506">
        <v>228</v>
      </c>
      <c r="K506">
        <v>3</v>
      </c>
    </row>
    <row r="507" spans="1:11" x14ac:dyDescent="0.3">
      <c r="A507">
        <v>45</v>
      </c>
      <c r="B507">
        <v>0</v>
      </c>
      <c r="C507">
        <v>1</v>
      </c>
      <c r="D507">
        <v>1</v>
      </c>
      <c r="E507">
        <v>1</v>
      </c>
      <c r="F507">
        <v>0</v>
      </c>
      <c r="G507">
        <v>0</v>
      </c>
      <c r="H507">
        <v>1</v>
      </c>
      <c r="I507">
        <v>11</v>
      </c>
      <c r="J507">
        <v>186</v>
      </c>
      <c r="K507">
        <v>1</v>
      </c>
    </row>
    <row r="508" spans="1:11" x14ac:dyDescent="0.3">
      <c r="A508">
        <v>55</v>
      </c>
      <c r="B508">
        <v>1</v>
      </c>
      <c r="C508">
        <v>1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20</v>
      </c>
      <c r="J508">
        <v>205</v>
      </c>
      <c r="K508">
        <v>2</v>
      </c>
    </row>
    <row r="509" spans="1:11" x14ac:dyDescent="0.3">
      <c r="A509">
        <v>46</v>
      </c>
      <c r="B509">
        <v>1</v>
      </c>
      <c r="C509">
        <v>0</v>
      </c>
      <c r="D509">
        <v>0</v>
      </c>
      <c r="E509">
        <v>1</v>
      </c>
      <c r="F509">
        <v>1</v>
      </c>
      <c r="G509">
        <v>0</v>
      </c>
      <c r="H509">
        <v>1</v>
      </c>
      <c r="I509">
        <v>15</v>
      </c>
      <c r="J509">
        <v>195</v>
      </c>
      <c r="K509">
        <v>3</v>
      </c>
    </row>
    <row r="510" spans="1:11" x14ac:dyDescent="0.3">
      <c r="A510">
        <v>44</v>
      </c>
      <c r="B510">
        <v>0</v>
      </c>
      <c r="C510">
        <v>1</v>
      </c>
      <c r="D510">
        <v>1</v>
      </c>
      <c r="E510">
        <v>0</v>
      </c>
      <c r="F510">
        <v>0</v>
      </c>
      <c r="G510">
        <v>0</v>
      </c>
      <c r="H510">
        <v>1</v>
      </c>
      <c r="I510">
        <v>7</v>
      </c>
      <c r="J510">
        <v>206</v>
      </c>
      <c r="K510">
        <v>3</v>
      </c>
    </row>
    <row r="511" spans="1:11" x14ac:dyDescent="0.3">
      <c r="A511">
        <v>53</v>
      </c>
      <c r="B511">
        <v>1</v>
      </c>
      <c r="C511">
        <v>0</v>
      </c>
      <c r="D511">
        <v>1</v>
      </c>
      <c r="E511">
        <v>1</v>
      </c>
      <c r="F511">
        <v>1</v>
      </c>
      <c r="G511">
        <v>0</v>
      </c>
      <c r="H511">
        <v>1</v>
      </c>
      <c r="I511">
        <v>14</v>
      </c>
      <c r="J511">
        <v>174</v>
      </c>
      <c r="K511">
        <v>3</v>
      </c>
    </row>
    <row r="512" spans="1:11" x14ac:dyDescent="0.3">
      <c r="A512">
        <v>53</v>
      </c>
      <c r="B512">
        <v>1</v>
      </c>
      <c r="C512">
        <v>1</v>
      </c>
      <c r="D512">
        <v>1</v>
      </c>
      <c r="E512">
        <v>0</v>
      </c>
      <c r="F512">
        <v>0</v>
      </c>
      <c r="G512">
        <v>1</v>
      </c>
      <c r="H512">
        <v>1</v>
      </c>
      <c r="I512">
        <v>15</v>
      </c>
      <c r="J512">
        <v>214</v>
      </c>
      <c r="K512">
        <v>3</v>
      </c>
    </row>
    <row r="513" spans="1:11" x14ac:dyDescent="0.3">
      <c r="A513">
        <v>43</v>
      </c>
      <c r="B513">
        <v>0</v>
      </c>
      <c r="C513">
        <v>1</v>
      </c>
      <c r="D513">
        <v>0</v>
      </c>
      <c r="E513">
        <v>0</v>
      </c>
      <c r="F513">
        <v>0</v>
      </c>
      <c r="G513">
        <v>0</v>
      </c>
      <c r="H513">
        <v>1</v>
      </c>
      <c r="I513">
        <v>14</v>
      </c>
      <c r="J513">
        <v>223</v>
      </c>
      <c r="K513">
        <v>1</v>
      </c>
    </row>
    <row r="514" spans="1:11" x14ac:dyDescent="0.3">
      <c r="A514">
        <v>54</v>
      </c>
      <c r="B514">
        <v>0</v>
      </c>
      <c r="C514">
        <v>1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12</v>
      </c>
      <c r="J514">
        <v>213</v>
      </c>
      <c r="K514">
        <v>1</v>
      </c>
    </row>
    <row r="515" spans="1:11" x14ac:dyDescent="0.3">
      <c r="A515">
        <v>61</v>
      </c>
      <c r="B515">
        <v>1</v>
      </c>
      <c r="C515">
        <v>1</v>
      </c>
      <c r="D515">
        <v>1</v>
      </c>
      <c r="E515">
        <v>0</v>
      </c>
      <c r="F515">
        <v>1</v>
      </c>
      <c r="G515">
        <v>0</v>
      </c>
      <c r="H515">
        <v>1</v>
      </c>
      <c r="I515">
        <v>14</v>
      </c>
      <c r="J515">
        <v>222</v>
      </c>
      <c r="K515">
        <v>3</v>
      </c>
    </row>
    <row r="516" spans="1:11" x14ac:dyDescent="0.3">
      <c r="A516">
        <v>55</v>
      </c>
      <c r="B516">
        <v>1</v>
      </c>
      <c r="C516">
        <v>0</v>
      </c>
      <c r="D516">
        <v>1</v>
      </c>
      <c r="E516">
        <v>1</v>
      </c>
      <c r="F516">
        <v>1</v>
      </c>
      <c r="G516">
        <v>0</v>
      </c>
      <c r="H516">
        <v>0</v>
      </c>
      <c r="I516">
        <v>13</v>
      </c>
      <c r="J516">
        <v>233</v>
      </c>
      <c r="K516">
        <v>3</v>
      </c>
    </row>
    <row r="517" spans="1:11" x14ac:dyDescent="0.3">
      <c r="A517">
        <v>46</v>
      </c>
      <c r="B517">
        <v>0</v>
      </c>
      <c r="C517">
        <v>0</v>
      </c>
      <c r="D517">
        <v>0</v>
      </c>
      <c r="E517">
        <v>0</v>
      </c>
      <c r="F517">
        <v>1</v>
      </c>
      <c r="G517">
        <v>0</v>
      </c>
      <c r="H517">
        <v>1</v>
      </c>
      <c r="I517">
        <v>16</v>
      </c>
      <c r="J517">
        <v>187</v>
      </c>
      <c r="K517">
        <v>1</v>
      </c>
    </row>
    <row r="518" spans="1:11" x14ac:dyDescent="0.3">
      <c r="A518">
        <v>62</v>
      </c>
      <c r="B518">
        <v>0</v>
      </c>
      <c r="C518">
        <v>0</v>
      </c>
      <c r="D518">
        <v>1</v>
      </c>
      <c r="E518">
        <v>1</v>
      </c>
      <c r="F518">
        <v>0</v>
      </c>
      <c r="G518">
        <v>0</v>
      </c>
      <c r="H518">
        <v>0</v>
      </c>
      <c r="I518">
        <v>22</v>
      </c>
      <c r="J518">
        <v>223</v>
      </c>
      <c r="K518">
        <v>3</v>
      </c>
    </row>
    <row r="519" spans="1:11" x14ac:dyDescent="0.3">
      <c r="A519">
        <v>43</v>
      </c>
      <c r="B519">
        <v>1</v>
      </c>
      <c r="C519">
        <v>1</v>
      </c>
      <c r="D519">
        <v>0</v>
      </c>
      <c r="E519">
        <v>0</v>
      </c>
      <c r="F519">
        <v>1</v>
      </c>
      <c r="G519">
        <v>0</v>
      </c>
      <c r="H519">
        <v>0</v>
      </c>
      <c r="I519">
        <v>11</v>
      </c>
      <c r="J519">
        <v>207</v>
      </c>
      <c r="K519">
        <v>2</v>
      </c>
    </row>
    <row r="520" spans="1:11" x14ac:dyDescent="0.3">
      <c r="A520">
        <v>48</v>
      </c>
      <c r="B520">
        <v>1</v>
      </c>
      <c r="C520">
        <v>0</v>
      </c>
      <c r="D520">
        <v>0</v>
      </c>
      <c r="E520">
        <v>0</v>
      </c>
      <c r="F520">
        <v>1</v>
      </c>
      <c r="G520">
        <v>1</v>
      </c>
      <c r="H520">
        <v>1</v>
      </c>
      <c r="I520">
        <v>17</v>
      </c>
      <c r="J520">
        <v>176</v>
      </c>
      <c r="K520">
        <v>2</v>
      </c>
    </row>
    <row r="521" spans="1:11" x14ac:dyDescent="0.3">
      <c r="A521">
        <v>61</v>
      </c>
      <c r="B521">
        <v>1</v>
      </c>
      <c r="C521">
        <v>0</v>
      </c>
      <c r="D521">
        <v>0</v>
      </c>
      <c r="E521">
        <v>1</v>
      </c>
      <c r="F521">
        <v>1</v>
      </c>
      <c r="G521">
        <v>0</v>
      </c>
      <c r="H521">
        <v>1</v>
      </c>
      <c r="I521">
        <v>15</v>
      </c>
      <c r="J521">
        <v>224</v>
      </c>
      <c r="K521">
        <v>3</v>
      </c>
    </row>
    <row r="522" spans="1:11" x14ac:dyDescent="0.3">
      <c r="A522">
        <v>61</v>
      </c>
      <c r="B522">
        <v>0</v>
      </c>
      <c r="C522">
        <v>1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18</v>
      </c>
      <c r="J522">
        <v>243</v>
      </c>
      <c r="K522">
        <v>2</v>
      </c>
    </row>
    <row r="523" spans="1:11" x14ac:dyDescent="0.3">
      <c r="A523">
        <v>56</v>
      </c>
      <c r="B523">
        <v>0</v>
      </c>
      <c r="C523">
        <v>1</v>
      </c>
      <c r="D523">
        <v>1</v>
      </c>
      <c r="E523">
        <v>0</v>
      </c>
      <c r="F523">
        <v>1</v>
      </c>
      <c r="G523">
        <v>1</v>
      </c>
      <c r="H523">
        <v>1</v>
      </c>
      <c r="I523">
        <v>18</v>
      </c>
      <c r="J523">
        <v>182</v>
      </c>
      <c r="K523">
        <v>3</v>
      </c>
    </row>
    <row r="524" spans="1:11" x14ac:dyDescent="0.3">
      <c r="A524">
        <v>46</v>
      </c>
      <c r="B524">
        <v>1</v>
      </c>
      <c r="C524">
        <v>1</v>
      </c>
      <c r="D524">
        <v>1</v>
      </c>
      <c r="E524">
        <v>1</v>
      </c>
      <c r="F524">
        <v>0</v>
      </c>
      <c r="G524">
        <v>0</v>
      </c>
      <c r="H524">
        <v>1</v>
      </c>
      <c r="I524">
        <v>12</v>
      </c>
      <c r="J524">
        <v>235</v>
      </c>
      <c r="K524">
        <v>3</v>
      </c>
    </row>
    <row r="525" spans="1:11" x14ac:dyDescent="0.3">
      <c r="A525">
        <v>48</v>
      </c>
      <c r="B525">
        <v>0</v>
      </c>
      <c r="C525">
        <v>1</v>
      </c>
      <c r="D525">
        <v>0</v>
      </c>
      <c r="E525">
        <v>0</v>
      </c>
      <c r="F525">
        <v>0</v>
      </c>
      <c r="G525">
        <v>0</v>
      </c>
      <c r="H525">
        <v>1</v>
      </c>
      <c r="I525">
        <v>13</v>
      </c>
      <c r="J525">
        <v>219</v>
      </c>
      <c r="K525">
        <v>1</v>
      </c>
    </row>
    <row r="526" spans="1:11" x14ac:dyDescent="0.3">
      <c r="A526">
        <v>63</v>
      </c>
      <c r="B526">
        <v>0</v>
      </c>
      <c r="C526">
        <v>1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13</v>
      </c>
      <c r="J526">
        <v>212</v>
      </c>
      <c r="K526">
        <v>3</v>
      </c>
    </row>
    <row r="527" spans="1:11" x14ac:dyDescent="0.3">
      <c r="A527">
        <v>60</v>
      </c>
      <c r="B527">
        <v>0</v>
      </c>
      <c r="C527">
        <v>0</v>
      </c>
      <c r="D527">
        <v>0</v>
      </c>
      <c r="E527">
        <v>0</v>
      </c>
      <c r="F527">
        <v>1</v>
      </c>
      <c r="G527">
        <v>1</v>
      </c>
      <c r="H527">
        <v>1</v>
      </c>
      <c r="I527">
        <v>18</v>
      </c>
      <c r="J527">
        <v>243</v>
      </c>
      <c r="K527">
        <v>1</v>
      </c>
    </row>
    <row r="528" spans="1:11" x14ac:dyDescent="0.3">
      <c r="A528">
        <v>52</v>
      </c>
      <c r="B528">
        <v>1</v>
      </c>
      <c r="C528">
        <v>0</v>
      </c>
      <c r="D528">
        <v>1</v>
      </c>
      <c r="E528">
        <v>1</v>
      </c>
      <c r="F528">
        <v>0</v>
      </c>
      <c r="G528">
        <v>0</v>
      </c>
      <c r="H528">
        <v>0</v>
      </c>
      <c r="I528">
        <v>11</v>
      </c>
      <c r="J528">
        <v>210</v>
      </c>
      <c r="K528">
        <v>3</v>
      </c>
    </row>
    <row r="529" spans="1:11" x14ac:dyDescent="0.3">
      <c r="A529">
        <v>35</v>
      </c>
      <c r="B529">
        <v>1</v>
      </c>
      <c r="C529">
        <v>0</v>
      </c>
      <c r="D529">
        <v>0</v>
      </c>
      <c r="E529">
        <v>0</v>
      </c>
      <c r="F529">
        <v>0</v>
      </c>
      <c r="G529">
        <v>1</v>
      </c>
      <c r="H529">
        <v>1</v>
      </c>
      <c r="I529">
        <v>13</v>
      </c>
      <c r="J529">
        <v>179</v>
      </c>
      <c r="K529">
        <v>3</v>
      </c>
    </row>
    <row r="530" spans="1:11" x14ac:dyDescent="0.3">
      <c r="A530">
        <v>45</v>
      </c>
      <c r="B530">
        <v>1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1</v>
      </c>
      <c r="I530">
        <v>19</v>
      </c>
      <c r="J530">
        <v>220</v>
      </c>
      <c r="K530">
        <v>2</v>
      </c>
    </row>
    <row r="531" spans="1:11" x14ac:dyDescent="0.3">
      <c r="A531">
        <v>42</v>
      </c>
      <c r="B531">
        <v>1</v>
      </c>
      <c r="C531">
        <v>0</v>
      </c>
      <c r="D531">
        <v>1</v>
      </c>
      <c r="E531">
        <v>0</v>
      </c>
      <c r="F531">
        <v>1</v>
      </c>
      <c r="G531">
        <v>0</v>
      </c>
      <c r="H531">
        <v>0</v>
      </c>
      <c r="I531">
        <v>14</v>
      </c>
      <c r="J531">
        <v>187</v>
      </c>
      <c r="K531">
        <v>3</v>
      </c>
    </row>
    <row r="532" spans="1:11" x14ac:dyDescent="0.3">
      <c r="A532">
        <v>57</v>
      </c>
      <c r="B532">
        <v>0</v>
      </c>
      <c r="C532">
        <v>0</v>
      </c>
      <c r="D532">
        <v>1</v>
      </c>
      <c r="E532">
        <v>0</v>
      </c>
      <c r="F532">
        <v>0</v>
      </c>
      <c r="G532">
        <v>0</v>
      </c>
      <c r="H532">
        <v>1</v>
      </c>
      <c r="I532">
        <v>17</v>
      </c>
      <c r="J532">
        <v>220</v>
      </c>
      <c r="K532">
        <v>1</v>
      </c>
    </row>
    <row r="533" spans="1:11" x14ac:dyDescent="0.3">
      <c r="A533">
        <v>54</v>
      </c>
      <c r="B533">
        <v>1</v>
      </c>
      <c r="C533">
        <v>1</v>
      </c>
      <c r="D533">
        <v>1</v>
      </c>
      <c r="E533">
        <v>0</v>
      </c>
      <c r="F533">
        <v>0</v>
      </c>
      <c r="G533">
        <v>1</v>
      </c>
      <c r="H533">
        <v>0</v>
      </c>
      <c r="I533">
        <v>17</v>
      </c>
      <c r="J533">
        <v>230</v>
      </c>
      <c r="K533">
        <v>3</v>
      </c>
    </row>
    <row r="534" spans="1:11" x14ac:dyDescent="0.3">
      <c r="A534">
        <v>46</v>
      </c>
      <c r="B534">
        <v>1</v>
      </c>
      <c r="C534">
        <v>0</v>
      </c>
      <c r="D534">
        <v>1</v>
      </c>
      <c r="E534">
        <v>1</v>
      </c>
      <c r="F534">
        <v>1</v>
      </c>
      <c r="G534">
        <v>0</v>
      </c>
      <c r="H534">
        <v>0</v>
      </c>
      <c r="I534">
        <v>17</v>
      </c>
      <c r="J534">
        <v>245</v>
      </c>
      <c r="K534">
        <v>3</v>
      </c>
    </row>
    <row r="535" spans="1:11" x14ac:dyDescent="0.3">
      <c r="A535">
        <v>59</v>
      </c>
      <c r="B535">
        <v>1</v>
      </c>
      <c r="C535">
        <v>0</v>
      </c>
      <c r="D535">
        <v>1</v>
      </c>
      <c r="E535">
        <v>0</v>
      </c>
      <c r="F535">
        <v>0</v>
      </c>
      <c r="G535">
        <v>0</v>
      </c>
      <c r="H535">
        <v>0</v>
      </c>
      <c r="I535">
        <v>12</v>
      </c>
      <c r="J535">
        <v>230</v>
      </c>
      <c r="K535">
        <v>3</v>
      </c>
    </row>
    <row r="536" spans="1:11" x14ac:dyDescent="0.3">
      <c r="A536">
        <v>47</v>
      </c>
      <c r="B536">
        <v>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1</v>
      </c>
      <c r="I536">
        <v>9</v>
      </c>
      <c r="J536">
        <v>208</v>
      </c>
      <c r="K536">
        <v>3</v>
      </c>
    </row>
    <row r="537" spans="1:11" x14ac:dyDescent="0.3">
      <c r="A537">
        <v>71</v>
      </c>
      <c r="B537">
        <v>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1</v>
      </c>
      <c r="I537">
        <v>18</v>
      </c>
      <c r="J537">
        <v>204</v>
      </c>
      <c r="K537">
        <v>3</v>
      </c>
    </row>
    <row r="538" spans="1:11" x14ac:dyDescent="0.3">
      <c r="A538">
        <v>59</v>
      </c>
      <c r="B538">
        <v>0</v>
      </c>
      <c r="C538">
        <v>1</v>
      </c>
      <c r="D538">
        <v>0</v>
      </c>
      <c r="E538">
        <v>1</v>
      </c>
      <c r="F538">
        <v>1</v>
      </c>
      <c r="G538">
        <v>0</v>
      </c>
      <c r="H538">
        <v>1</v>
      </c>
      <c r="I538">
        <v>14</v>
      </c>
      <c r="J538">
        <v>166</v>
      </c>
      <c r="K538">
        <v>2</v>
      </c>
    </row>
    <row r="539" spans="1:11" x14ac:dyDescent="0.3">
      <c r="A539">
        <v>31</v>
      </c>
      <c r="B539">
        <v>0</v>
      </c>
      <c r="C539">
        <v>1</v>
      </c>
      <c r="D539">
        <v>0</v>
      </c>
      <c r="E539">
        <v>1</v>
      </c>
      <c r="F539">
        <v>0</v>
      </c>
      <c r="G539">
        <v>1</v>
      </c>
      <c r="H539">
        <v>0</v>
      </c>
      <c r="I539">
        <v>16</v>
      </c>
      <c r="J539">
        <v>193</v>
      </c>
      <c r="K539">
        <v>2</v>
      </c>
    </row>
    <row r="540" spans="1:11" x14ac:dyDescent="0.3">
      <c r="A540">
        <v>55</v>
      </c>
      <c r="B540">
        <v>0</v>
      </c>
      <c r="C540">
        <v>0</v>
      </c>
      <c r="D540">
        <v>0</v>
      </c>
      <c r="E540">
        <v>1</v>
      </c>
      <c r="F540">
        <v>1</v>
      </c>
      <c r="G540">
        <v>1</v>
      </c>
      <c r="H540">
        <v>1</v>
      </c>
      <c r="I540">
        <v>16</v>
      </c>
      <c r="J540">
        <v>210</v>
      </c>
      <c r="K540">
        <v>1</v>
      </c>
    </row>
    <row r="541" spans="1:11" x14ac:dyDescent="0.3">
      <c r="A541">
        <v>71</v>
      </c>
      <c r="B541">
        <v>1</v>
      </c>
      <c r="C541">
        <v>0</v>
      </c>
      <c r="D541">
        <v>1</v>
      </c>
      <c r="E541">
        <v>1</v>
      </c>
      <c r="F541">
        <v>0</v>
      </c>
      <c r="G541">
        <v>0</v>
      </c>
      <c r="H541">
        <v>1</v>
      </c>
      <c r="I541">
        <v>11</v>
      </c>
      <c r="J541">
        <v>182</v>
      </c>
      <c r="K541">
        <v>3</v>
      </c>
    </row>
    <row r="542" spans="1:11" x14ac:dyDescent="0.3">
      <c r="A542">
        <v>50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1</v>
      </c>
      <c r="H542">
        <v>1</v>
      </c>
      <c r="I542">
        <v>17</v>
      </c>
      <c r="J542">
        <v>228</v>
      </c>
      <c r="K542">
        <v>3</v>
      </c>
    </row>
    <row r="543" spans="1:11" x14ac:dyDescent="0.3">
      <c r="A543">
        <v>39</v>
      </c>
      <c r="B543">
        <v>0</v>
      </c>
      <c r="C543">
        <v>1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16</v>
      </c>
      <c r="J543">
        <v>187</v>
      </c>
      <c r="K543">
        <v>1</v>
      </c>
    </row>
    <row r="544" spans="1:11" x14ac:dyDescent="0.3">
      <c r="A544">
        <v>37</v>
      </c>
      <c r="B544">
        <v>1</v>
      </c>
      <c r="C544">
        <v>1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15</v>
      </c>
      <c r="J544">
        <v>187</v>
      </c>
      <c r="K544">
        <v>3</v>
      </c>
    </row>
    <row r="545" spans="1:11" x14ac:dyDescent="0.3">
      <c r="A545">
        <v>44</v>
      </c>
      <c r="B545">
        <v>0</v>
      </c>
      <c r="C545">
        <v>0</v>
      </c>
      <c r="D545">
        <v>1</v>
      </c>
      <c r="E545">
        <v>1</v>
      </c>
      <c r="F545">
        <v>0</v>
      </c>
      <c r="G545">
        <v>0</v>
      </c>
      <c r="H545">
        <v>0</v>
      </c>
      <c r="I545">
        <v>18</v>
      </c>
      <c r="J545">
        <v>227</v>
      </c>
      <c r="K545">
        <v>2</v>
      </c>
    </row>
    <row r="546" spans="1:11" x14ac:dyDescent="0.3">
      <c r="A546">
        <v>39</v>
      </c>
      <c r="B546">
        <v>0</v>
      </c>
      <c r="C546">
        <v>0</v>
      </c>
      <c r="D546">
        <v>1</v>
      </c>
      <c r="E546">
        <v>0</v>
      </c>
      <c r="F546">
        <v>0</v>
      </c>
      <c r="G546">
        <v>0</v>
      </c>
      <c r="H546">
        <v>0</v>
      </c>
      <c r="I546">
        <v>11</v>
      </c>
      <c r="J546">
        <v>196</v>
      </c>
      <c r="K546">
        <v>1</v>
      </c>
    </row>
    <row r="547" spans="1:11" x14ac:dyDescent="0.3">
      <c r="A547">
        <v>48</v>
      </c>
      <c r="B547">
        <v>0</v>
      </c>
      <c r="C547">
        <v>0</v>
      </c>
      <c r="D547">
        <v>1</v>
      </c>
      <c r="E547">
        <v>1</v>
      </c>
      <c r="F547">
        <v>1</v>
      </c>
      <c r="G547">
        <v>0</v>
      </c>
      <c r="H547">
        <v>1</v>
      </c>
      <c r="I547">
        <v>15</v>
      </c>
      <c r="J547">
        <v>205</v>
      </c>
      <c r="K547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0A845-5B2F-41FC-8F81-4BE706708D3E}">
  <sheetPr codeName="Sheet2"/>
  <dimension ref="A1:C13"/>
  <sheetViews>
    <sheetView tabSelected="1" zoomScale="75" zoomScaleNormal="120" workbookViewId="0">
      <selection activeCell="C13" sqref="C13"/>
    </sheetView>
  </sheetViews>
  <sheetFormatPr defaultRowHeight="14.4" x14ac:dyDescent="0.3"/>
  <cols>
    <col min="2" max="2" width="14.6640625" bestFit="1" customWidth="1"/>
    <col min="3" max="3" width="94.44140625" bestFit="1" customWidth="1"/>
  </cols>
  <sheetData>
    <row r="1" spans="1:3" ht="20.399999999999999" thickBot="1" x14ac:dyDescent="0.45">
      <c r="A1" s="10" t="s">
        <v>14</v>
      </c>
    </row>
    <row r="2" spans="1:3" ht="15" thickTop="1" x14ac:dyDescent="0.3"/>
    <row r="3" spans="1:3" ht="20.100000000000001" customHeight="1" x14ac:dyDescent="0.3">
      <c r="A3" s="18" t="s">
        <v>5</v>
      </c>
      <c r="B3" s="11" t="s">
        <v>24</v>
      </c>
      <c r="C3" s="12" t="s">
        <v>17</v>
      </c>
    </row>
    <row r="4" spans="1:3" ht="20.100000000000001" customHeight="1" x14ac:dyDescent="0.3">
      <c r="A4" s="18"/>
      <c r="B4" s="11" t="s">
        <v>25</v>
      </c>
      <c r="C4" s="12" t="s">
        <v>50</v>
      </c>
    </row>
    <row r="5" spans="1:3" ht="20.100000000000001" customHeight="1" x14ac:dyDescent="0.3">
      <c r="A5" s="18"/>
      <c r="B5" s="11" t="s">
        <v>26</v>
      </c>
      <c r="C5" s="12" t="s">
        <v>18</v>
      </c>
    </row>
    <row r="6" spans="1:3" ht="20.100000000000001" customHeight="1" x14ac:dyDescent="0.3">
      <c r="A6" s="18"/>
      <c r="B6" s="11" t="s">
        <v>27</v>
      </c>
      <c r="C6" s="12" t="s">
        <v>19</v>
      </c>
    </row>
    <row r="7" spans="1:3" ht="20.100000000000001" customHeight="1" x14ac:dyDescent="0.3">
      <c r="A7" s="18"/>
      <c r="B7" s="11" t="s">
        <v>28</v>
      </c>
      <c r="C7" s="12" t="s">
        <v>20</v>
      </c>
    </row>
    <row r="8" spans="1:3" ht="20.100000000000001" customHeight="1" x14ac:dyDescent="0.3">
      <c r="A8" s="18"/>
      <c r="B8" s="11" t="s">
        <v>29</v>
      </c>
      <c r="C8" s="12" t="s">
        <v>21</v>
      </c>
    </row>
    <row r="9" spans="1:3" ht="20.100000000000001" customHeight="1" x14ac:dyDescent="0.3">
      <c r="A9" s="18"/>
      <c r="B9" s="11" t="s">
        <v>30</v>
      </c>
      <c r="C9" s="12" t="s">
        <v>22</v>
      </c>
    </row>
    <row r="10" spans="1:3" ht="20.100000000000001" customHeight="1" x14ac:dyDescent="0.3">
      <c r="A10" s="18"/>
      <c r="B10" s="11" t="s">
        <v>31</v>
      </c>
      <c r="C10" s="12" t="s">
        <v>23</v>
      </c>
    </row>
    <row r="11" spans="1:3" ht="20.100000000000001" customHeight="1" x14ac:dyDescent="0.3">
      <c r="A11" s="18"/>
      <c r="B11" s="11" t="s">
        <v>44</v>
      </c>
      <c r="C11" s="12" t="s">
        <v>51</v>
      </c>
    </row>
    <row r="12" spans="1:3" ht="20.100000000000001" customHeight="1" x14ac:dyDescent="0.3">
      <c r="A12" s="18"/>
      <c r="B12" s="11" t="s">
        <v>32</v>
      </c>
      <c r="C12" s="12" t="s">
        <v>52</v>
      </c>
    </row>
    <row r="13" spans="1:3" ht="20.100000000000001" customHeight="1" x14ac:dyDescent="0.3">
      <c r="A13" s="11" t="s">
        <v>6</v>
      </c>
      <c r="B13" s="11" t="s">
        <v>33</v>
      </c>
      <c r="C13" s="12" t="s">
        <v>15</v>
      </c>
    </row>
  </sheetData>
  <mergeCells count="1">
    <mergeCell ref="A3:A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419100</xdr:colOff>
                    <xdr:row>15</xdr:row>
                    <xdr:rowOff>22860</xdr:rowOff>
                  </from>
                  <to>
                    <xdr:col>2</xdr:col>
                    <xdr:colOff>5029200</xdr:colOff>
                    <xdr:row>17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4B064-EB69-4001-9F19-CE63F1DC3745}">
  <sheetPr codeName="Sheet5"/>
  <dimension ref="B1:I11"/>
  <sheetViews>
    <sheetView topLeftCell="C22" workbookViewId="0">
      <selection activeCell="R33" sqref="R33"/>
    </sheetView>
  </sheetViews>
  <sheetFormatPr defaultRowHeight="14.4" x14ac:dyDescent="0.3"/>
  <sheetData>
    <row r="1" spans="2:9" x14ac:dyDescent="0.3">
      <c r="B1" s="4" t="s">
        <v>12</v>
      </c>
      <c r="C1" s="4"/>
      <c r="D1" s="4"/>
      <c r="E1" s="4"/>
    </row>
    <row r="2" spans="2:9" x14ac:dyDescent="0.3">
      <c r="B2" s="4" t="s">
        <v>1</v>
      </c>
      <c r="C2" s="4" t="s">
        <v>2</v>
      </c>
      <c r="D2" s="4" t="s">
        <v>4</v>
      </c>
      <c r="E2" s="4" t="s">
        <v>3</v>
      </c>
    </row>
    <row r="3" spans="2:9" x14ac:dyDescent="0.3">
      <c r="B3" s="4">
        <v>1</v>
      </c>
      <c r="C3" s="4">
        <v>2</v>
      </c>
      <c r="D3" s="4">
        <v>3</v>
      </c>
      <c r="E3" s="4">
        <v>4</v>
      </c>
    </row>
    <row r="4" spans="2:9" x14ac:dyDescent="0.3">
      <c r="B4" s="4">
        <f>COUNTIF(OUTPUT!$K:$K,Estatistica!B3)</f>
        <v>151</v>
      </c>
      <c r="C4" s="4">
        <f>COUNTIF(OUTPUT!$K:$K,Estatistica!C3)</f>
        <v>115</v>
      </c>
      <c r="D4" s="4">
        <f>COUNTIF(OUTPUT!$K:$K,Estatistica!D3)</f>
        <v>280</v>
      </c>
      <c r="E4" s="4">
        <f>COUNTIF(OUTPUT!$K:$K,Estatistica!E3)</f>
        <v>0</v>
      </c>
    </row>
    <row r="5" spans="2:9" x14ac:dyDescent="0.3">
      <c r="B5" s="9">
        <f>B4/SUM($B$4:$E$4)</f>
        <v>0.27655677655677657</v>
      </c>
      <c r="C5" s="9">
        <f t="shared" ref="C5:E5" si="0">C4/SUM($B$4:$E$4)</f>
        <v>0.21062271062271062</v>
      </c>
      <c r="D5" s="9">
        <f t="shared" si="0"/>
        <v>0.51282051282051277</v>
      </c>
      <c r="E5" s="9">
        <f t="shared" si="0"/>
        <v>0</v>
      </c>
    </row>
    <row r="7" spans="2:9" x14ac:dyDescent="0.3">
      <c r="B7" s="2" t="s">
        <v>13</v>
      </c>
      <c r="C7" s="2"/>
      <c r="D7" s="2"/>
      <c r="E7" s="2"/>
      <c r="F7" s="2"/>
      <c r="G7" s="2"/>
      <c r="H7" s="2"/>
      <c r="I7" s="2"/>
    </row>
    <row r="8" spans="2:9" x14ac:dyDescent="0.3">
      <c r="B8" s="2">
        <v>1</v>
      </c>
      <c r="C8" s="2">
        <v>2</v>
      </c>
      <c r="D8" s="2" t="s">
        <v>7</v>
      </c>
      <c r="E8" s="2" t="s">
        <v>8</v>
      </c>
      <c r="F8" s="2" t="s">
        <v>9</v>
      </c>
      <c r="G8" s="2" t="s">
        <v>10</v>
      </c>
      <c r="H8" s="2">
        <v>3</v>
      </c>
      <c r="I8" s="2">
        <v>4</v>
      </c>
    </row>
    <row r="9" spans="2:9" x14ac:dyDescent="0.3">
      <c r="B9" s="2">
        <f ca="1">COUNTIF('Dataset (sem valores de texto)'!$L:$L,Estatistica!B8)</f>
        <v>155</v>
      </c>
      <c r="C9" s="2">
        <f ca="1">COUNTIF('Dataset (sem valores de texto)'!$L:$L,Estatistica!C8)</f>
        <v>115</v>
      </c>
      <c r="D9" s="2">
        <f ca="1">COUNTIF('Dataset (sem valores de texto)'!$L:$L,Estatistica!D8)</f>
        <v>0</v>
      </c>
      <c r="E9" s="2">
        <f ca="1">COUNTIF('Dataset (sem valores de texto)'!$L:$L,Estatistica!E8)</f>
        <v>0</v>
      </c>
      <c r="F9" s="2">
        <f ca="1">COUNTIF('Dataset (sem valores de texto)'!$L:$L,Estatistica!F8)</f>
        <v>0</v>
      </c>
      <c r="G9" s="2">
        <f ca="1">COUNTIF('Dataset (sem valores de texto)'!$L:$L,Estatistica!G8)</f>
        <v>0</v>
      </c>
      <c r="H9" s="2">
        <f ca="1">COUNTIF('Dataset (sem valores de texto)'!$L:$L,Estatistica!H8)</f>
        <v>276</v>
      </c>
      <c r="I9" s="2">
        <f ca="1">COUNTIF('Dataset (sem valores de texto)'!$L:$L,Estatistica!I8)</f>
        <v>0</v>
      </c>
    </row>
    <row r="10" spans="2:9" x14ac:dyDescent="0.3">
      <c r="B10" s="7">
        <f t="shared" ref="B10:I10" ca="1" si="1">B9/SUM($B$9:$I$9)</f>
        <v>0.28388278388278387</v>
      </c>
      <c r="C10" s="7">
        <f t="shared" ca="1" si="1"/>
        <v>0.21062271062271062</v>
      </c>
      <c r="D10" s="7">
        <f t="shared" ca="1" si="1"/>
        <v>0</v>
      </c>
      <c r="E10" s="7">
        <f t="shared" ca="1" si="1"/>
        <v>0</v>
      </c>
      <c r="F10" s="7">
        <f t="shared" ca="1" si="1"/>
        <v>0</v>
      </c>
      <c r="G10" s="7">
        <f t="shared" ca="1" si="1"/>
        <v>0</v>
      </c>
      <c r="H10" s="7">
        <f t="shared" ca="1" si="1"/>
        <v>0.50549450549450547</v>
      </c>
      <c r="I10" s="7">
        <f t="shared" ca="1" si="1"/>
        <v>0</v>
      </c>
    </row>
    <row r="11" spans="2:9" x14ac:dyDescent="0.3">
      <c r="B11" s="2"/>
      <c r="C11" s="2"/>
      <c r="D11" s="8">
        <f ca="1">SUM(D10:G10)</f>
        <v>0</v>
      </c>
      <c r="E11" s="2"/>
      <c r="F11" s="2"/>
      <c r="G11" s="2"/>
      <c r="H11" s="2"/>
      <c r="I11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9F0F-83E9-4352-8BDC-DE6DE9BE288E}">
  <sheetPr codeName="Sheet3"/>
  <dimension ref="A1:U561"/>
  <sheetViews>
    <sheetView topLeftCell="A3" workbookViewId="0">
      <selection activeCell="B16" sqref="B16:L561"/>
    </sheetView>
  </sheetViews>
  <sheetFormatPr defaultRowHeight="14.4" x14ac:dyDescent="0.3"/>
  <cols>
    <col min="2" max="11" width="11.44140625" customWidth="1"/>
    <col min="12" max="12" width="10.5546875" bestFit="1" customWidth="1"/>
    <col min="13" max="13" width="10.5546875" style="13" customWidth="1"/>
    <col min="14" max="14" width="10.5546875" customWidth="1"/>
    <col min="20" max="20" width="9.109375" bestFit="1" customWidth="1"/>
  </cols>
  <sheetData>
    <row r="1" spans="1:2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</row>
    <row r="2" spans="1:21" x14ac:dyDescent="0.3"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P2" s="6" t="s">
        <v>11</v>
      </c>
    </row>
    <row r="3" spans="1:21" x14ac:dyDescent="0.3">
      <c r="B3" s="19"/>
      <c r="C3" s="19"/>
      <c r="D3" s="19"/>
      <c r="E3" s="19"/>
      <c r="F3" s="20"/>
      <c r="G3" s="20"/>
      <c r="H3" s="20"/>
      <c r="I3" s="19"/>
      <c r="J3" s="19"/>
      <c r="K3" s="2"/>
      <c r="P3" s="6"/>
    </row>
    <row r="4" spans="1:21" x14ac:dyDescent="0.3">
      <c r="B4" s="1"/>
    </row>
    <row r="5" spans="1:21" x14ac:dyDescent="0.3">
      <c r="B5" s="11" t="s">
        <v>24</v>
      </c>
      <c r="C5" s="11" t="s">
        <v>25</v>
      </c>
      <c r="D5" s="11" t="s">
        <v>26</v>
      </c>
      <c r="E5" s="11" t="s">
        <v>27</v>
      </c>
      <c r="F5" s="11" t="s">
        <v>28</v>
      </c>
      <c r="G5" s="11" t="s">
        <v>29</v>
      </c>
      <c r="H5" s="11" t="s">
        <v>30</v>
      </c>
      <c r="I5" s="11" t="s">
        <v>31</v>
      </c>
      <c r="J5" s="11" t="s">
        <v>44</v>
      </c>
      <c r="K5" s="11" t="s">
        <v>32</v>
      </c>
      <c r="L5" s="3" t="s">
        <v>0</v>
      </c>
      <c r="T5">
        <v>1</v>
      </c>
      <c r="U5" t="s">
        <v>46</v>
      </c>
    </row>
    <row r="6" spans="1:21" x14ac:dyDescent="0.3">
      <c r="B6">
        <v>50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15</v>
      </c>
      <c r="K6">
        <v>210</v>
      </c>
      <c r="L6" s="3"/>
      <c r="T6">
        <v>1</v>
      </c>
      <c r="U6" t="s">
        <v>47</v>
      </c>
    </row>
    <row r="7" spans="1:21" x14ac:dyDescent="0.3">
      <c r="B7">
        <v>10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3</v>
      </c>
      <c r="K7">
        <v>20</v>
      </c>
      <c r="L7" s="3"/>
      <c r="T7">
        <v>1</v>
      </c>
      <c r="U7" t="s">
        <v>32</v>
      </c>
    </row>
    <row r="8" spans="1:21" x14ac:dyDescent="0.3">
      <c r="B8">
        <v>20</v>
      </c>
      <c r="C8" s="6">
        <v>0.5</v>
      </c>
      <c r="D8" s="6">
        <v>0.5</v>
      </c>
      <c r="E8" s="6">
        <f>D8</f>
        <v>0.5</v>
      </c>
      <c r="F8" s="6">
        <f>E8</f>
        <v>0.5</v>
      </c>
      <c r="G8" s="6">
        <v>0.3</v>
      </c>
      <c r="H8" s="6">
        <v>0.3</v>
      </c>
      <c r="I8" s="6">
        <v>0.5</v>
      </c>
      <c r="J8" s="6"/>
      <c r="K8" s="6"/>
      <c r="L8" s="3"/>
      <c r="M8" s="16">
        <v>3</v>
      </c>
      <c r="N8" t="s">
        <v>40</v>
      </c>
      <c r="T8">
        <v>1</v>
      </c>
      <c r="U8" t="s">
        <v>48</v>
      </c>
    </row>
    <row r="9" spans="1:21" x14ac:dyDescent="0.3">
      <c r="C9" s="6">
        <v>1</v>
      </c>
      <c r="D9" s="6">
        <v>1</v>
      </c>
      <c r="E9" s="6">
        <v>1</v>
      </c>
      <c r="F9" s="6">
        <v>1</v>
      </c>
      <c r="G9" s="6">
        <v>1</v>
      </c>
      <c r="H9" s="6">
        <v>1</v>
      </c>
      <c r="I9" s="6">
        <v>1</v>
      </c>
      <c r="L9" s="3"/>
      <c r="M9" s="16">
        <v>1</v>
      </c>
      <c r="N9" t="s">
        <v>41</v>
      </c>
      <c r="T9">
        <v>3</v>
      </c>
      <c r="U9" t="s">
        <v>49</v>
      </c>
    </row>
    <row r="10" spans="1:21" x14ac:dyDescent="0.3">
      <c r="L10" s="3"/>
    </row>
    <row r="11" spans="1:21" x14ac:dyDescent="0.3">
      <c r="L11" s="3"/>
      <c r="M11" s="13">
        <v>0.15</v>
      </c>
      <c r="N11" t="s">
        <v>42</v>
      </c>
    </row>
    <row r="12" spans="1:21" x14ac:dyDescent="0.3">
      <c r="L12" s="3"/>
      <c r="M12" s="13">
        <v>0.5</v>
      </c>
      <c r="N12" t="s">
        <v>43</v>
      </c>
    </row>
    <row r="13" spans="1:21" x14ac:dyDescent="0.3">
      <c r="L13" s="3"/>
    </row>
    <row r="14" spans="1:21" x14ac:dyDescent="0.3">
      <c r="L14" s="3"/>
    </row>
    <row r="15" spans="1:21" x14ac:dyDescent="0.3">
      <c r="B15" s="11" t="s">
        <v>24</v>
      </c>
      <c r="C15" s="11" t="s">
        <v>25</v>
      </c>
      <c r="D15" s="11" t="s">
        <v>26</v>
      </c>
      <c r="E15" s="11" t="s">
        <v>27</v>
      </c>
      <c r="F15" s="11" t="s">
        <v>28</v>
      </c>
      <c r="G15" s="11" t="s">
        <v>29</v>
      </c>
      <c r="H15" s="11" t="s">
        <v>30</v>
      </c>
      <c r="I15" s="11" t="s">
        <v>31</v>
      </c>
      <c r="J15" s="11" t="s">
        <v>44</v>
      </c>
      <c r="K15" s="11" t="s">
        <v>32</v>
      </c>
      <c r="L15" s="5" t="s">
        <v>0</v>
      </c>
      <c r="M15" s="14" t="s">
        <v>36</v>
      </c>
      <c r="N15" s="15" t="s">
        <v>37</v>
      </c>
      <c r="O15" t="s">
        <v>34</v>
      </c>
      <c r="P15" t="s">
        <v>35</v>
      </c>
      <c r="Q15" t="s">
        <v>38</v>
      </c>
      <c r="R15" t="s">
        <v>39</v>
      </c>
      <c r="S15" t="s">
        <v>45</v>
      </c>
      <c r="T15" t="s">
        <v>16</v>
      </c>
    </row>
    <row r="16" spans="1:21" x14ac:dyDescent="0.3">
      <c r="B16">
        <f ca="1">IF(ROUND(NORMINV(RAND(),B$6,B$7),0)&lt;B$8,B$8,ROUND(NORMINV(RAND(),B$6,B$7),0))</f>
        <v>68</v>
      </c>
      <c r="C16" cm="1">
        <f t="array" aca="1" ref="C16" ca="1">INDIRECT(ADDRESS(myRAND(1,C$2,C$8:C$9)+5,C$1))</f>
        <v>1</v>
      </c>
      <c r="D16" cm="1">
        <f t="array" aca="1" ref="D16" ca="1">INDIRECT(ADDRESS(myRAND(1,D$2,D$8:D$9)+5,D$1))</f>
        <v>0</v>
      </c>
      <c r="E16" cm="1">
        <f t="array" aca="1" ref="E16" ca="1">INDIRECT(ADDRESS(myRAND(1,E$2,E$8:E$9)+5,E$1))</f>
        <v>1</v>
      </c>
      <c r="F16" cm="1">
        <f t="array" aca="1" ref="F16" ca="1">INDIRECT(ADDRESS(myRAND(1,F$2,F$8:F$9)+5,F$1))</f>
        <v>1</v>
      </c>
      <c r="G16" cm="1">
        <f t="array" aca="1" ref="G16" ca="1">INDIRECT(ADDRESS(myRAND(1,G$2,G$8:G$9)+5,G$1))</f>
        <v>0</v>
      </c>
      <c r="H16" cm="1">
        <f t="array" aca="1" ref="H16" ca="1">INDIRECT(ADDRESS(myRAND(1,H$2,H$8:H$9)+5,H$1))</f>
        <v>0</v>
      </c>
      <c r="I16" cm="1">
        <f t="array" aca="1" ref="I16" ca="1">INDIRECT(ADDRESS(myRAND(1,I$2,I$8:I$9)+5,I$1))</f>
        <v>1</v>
      </c>
      <c r="J16">
        <f t="shared" ref="J16:K143" ca="1" si="0">IF(ROUND(NORMINV(RAND(),J$6,J$7),0)&lt;J$8,J$8,ROUND(NORMINV(RAND(),J$6,J$7),0))</f>
        <v>19</v>
      </c>
      <c r="K16">
        <f t="shared" ca="1" si="0"/>
        <v>250</v>
      </c>
      <c r="L16" s="3">
        <f ca="1">IF(R16=0,IF(M16&lt;$M$11,1,IF(M16&lt;M12,2,3)),IF(AND(T16&lt;$M$8,S16&lt;$M$9),1,3))</f>
        <v>3</v>
      </c>
      <c r="M16" s="13">
        <f ca="1">1/(1+EXP(-N16))</f>
        <v>0.83061610306598133</v>
      </c>
      <c r="N16">
        <f ca="1">-4.37+0.04*B16+1.34 *C16+1.9 * P16+  0.64 *O16</f>
        <v>1.59</v>
      </c>
      <c r="O16">
        <f ca="1">IF(SUM(D16:F16)=3,1,0)</f>
        <v>0</v>
      </c>
      <c r="P16">
        <f ca="1">IF(SUM(D16:F16)=2,1,0)</f>
        <v>1</v>
      </c>
      <c r="Q16">
        <f ca="1">IF(SUM(D16:F16)=1,1,0)</f>
        <v>0</v>
      </c>
      <c r="R16">
        <f ca="1">IF(SUM(D16:G16)=0,1,0)</f>
        <v>0</v>
      </c>
      <c r="S16">
        <f ca="1">SUM(G16:I16)</f>
        <v>1</v>
      </c>
      <c r="T16" s="17">
        <f ca="1">(B16-20)/100 *$T$5 + C16*$T$6+(K16-100)/$K$6*$T$7+(J16-6)/$J$6*$T$8+I16*$T$9</f>
        <v>6.0609523809523811</v>
      </c>
    </row>
    <row r="17" spans="2:20" x14ac:dyDescent="0.3">
      <c r="B17">
        <f t="shared" ref="B17:B80" ca="1" si="1">IF(ROUND(NORMINV(RAND(),B$6,B$7),0)&lt;B$8,B$8,ROUND(NORMINV(RAND(),B$6,B$7),0))</f>
        <v>36</v>
      </c>
      <c r="C17" cm="1">
        <f t="array" aca="1" ref="C17" ca="1">INDIRECT(ADDRESS(myRAND(1,C$2,C$8:C$9)+5,C$1))</f>
        <v>1</v>
      </c>
      <c r="D17" cm="1">
        <f t="array" aca="1" ref="D17" ca="1">INDIRECT(ADDRESS(myRAND(1,D$2,D$8:D$9)+5,D$1))</f>
        <v>0</v>
      </c>
      <c r="E17" cm="1">
        <f t="array" aca="1" ref="E17" ca="1">INDIRECT(ADDRESS(myRAND(1,E$2,E$8:E$9)+5,E$1))</f>
        <v>0</v>
      </c>
      <c r="F17" cm="1">
        <f t="array" aca="1" ref="F17" ca="1">INDIRECT(ADDRESS(myRAND(1,F$2,F$8:F$9)+5,F$1))</f>
        <v>0</v>
      </c>
      <c r="G17" cm="1">
        <f t="array" aca="1" ref="G17" ca="1">INDIRECT(ADDRESS(myRAND(1,G$2,G$8:G$9)+5,G$1))</f>
        <v>0</v>
      </c>
      <c r="H17" cm="1">
        <f t="array" aca="1" ref="H17" ca="1">INDIRECT(ADDRESS(myRAND(1,H$2,H$8:H$9)+5,H$1))</f>
        <v>0</v>
      </c>
      <c r="I17" cm="1">
        <f t="array" aca="1" ref="I17" ca="1">INDIRECT(ADDRESS(myRAND(1,I$2,I$8:I$9)+5,I$1))</f>
        <v>0</v>
      </c>
      <c r="J17">
        <f t="shared" ca="1" si="0"/>
        <v>14</v>
      </c>
      <c r="K17">
        <f t="shared" ca="1" si="0"/>
        <v>175</v>
      </c>
      <c r="L17" s="3">
        <f t="shared" ref="L17:L80" ca="1" si="2">IF(R17=0,IF(M17&lt;$M$11,1,IF(M17&lt;M13,2,3)),IF(AND(T17&lt;$M$8,S17&lt;$M$9),1,3))</f>
        <v>1</v>
      </c>
      <c r="M17" s="13">
        <f t="shared" ref="M17:M80" ca="1" si="3">1/(1+EXP(-N17))</f>
        <v>0.1693838969340187</v>
      </c>
      <c r="N17">
        <f t="shared" ref="N17:N80" ca="1" si="4">-4.37+0.04*B17+1.34 *C17+1.9 * P17+  0.64 *O17</f>
        <v>-1.59</v>
      </c>
      <c r="O17">
        <f t="shared" ref="O17:O80" ca="1" si="5">IF(SUM(D17:F17)=3,1,0)</f>
        <v>0</v>
      </c>
      <c r="P17">
        <f t="shared" ref="P17:P80" ca="1" si="6">IF(SUM(D17:F17)=2,1,0)</f>
        <v>0</v>
      </c>
      <c r="Q17">
        <f t="shared" ref="Q17:Q80" ca="1" si="7">IF(SUM(D17:F17)=1,1,0)</f>
        <v>0</v>
      </c>
      <c r="R17">
        <f t="shared" ref="R17:R80" ca="1" si="8">IF(SUM(D17:G17)=0,1,0)</f>
        <v>1</v>
      </c>
      <c r="S17">
        <f t="shared" ref="S17:S80" ca="1" si="9">SUM(G17:I17)</f>
        <v>0</v>
      </c>
      <c r="T17" s="17">
        <f t="shared" ref="T17:T80" ca="1" si="10">(B17-20)/100 *$T$5 + C17*$T$6+(K17-100)/$K$6*$T$7+J17/$J$6*$T$8+I17*$T$9</f>
        <v>2.4504761904761905</v>
      </c>
    </row>
    <row r="18" spans="2:20" x14ac:dyDescent="0.3">
      <c r="B18">
        <f t="shared" ca="1" si="1"/>
        <v>47</v>
      </c>
      <c r="C18" cm="1">
        <f t="array" aca="1" ref="C18" ca="1">INDIRECT(ADDRESS(myRAND(1,C$2,C$8:C$9)+5,C$1))</f>
        <v>0</v>
      </c>
      <c r="D18" cm="1">
        <f t="array" aca="1" ref="D18" ca="1">INDIRECT(ADDRESS(myRAND(1,D$2,D$8:D$9)+5,D$1))</f>
        <v>0</v>
      </c>
      <c r="E18" cm="1">
        <f t="array" aca="1" ref="E18" ca="1">INDIRECT(ADDRESS(myRAND(1,E$2,E$8:E$9)+5,E$1))</f>
        <v>1</v>
      </c>
      <c r="F18" cm="1">
        <f t="array" aca="1" ref="F18" ca="1">INDIRECT(ADDRESS(myRAND(1,F$2,F$8:F$9)+5,F$1))</f>
        <v>0</v>
      </c>
      <c r="G18" cm="1">
        <f t="array" aca="1" ref="G18" ca="1">INDIRECT(ADDRESS(myRAND(1,G$2,G$8:G$9)+5,G$1))</f>
        <v>0</v>
      </c>
      <c r="H18" cm="1">
        <f t="array" aca="1" ref="H18" ca="1">INDIRECT(ADDRESS(myRAND(1,H$2,H$8:H$9)+5,H$1))</f>
        <v>0</v>
      </c>
      <c r="I18" cm="1">
        <f t="array" aca="1" ref="I18" ca="1">INDIRECT(ADDRESS(myRAND(1,I$2,I$8:I$9)+5,I$1))</f>
        <v>1</v>
      </c>
      <c r="J18">
        <f t="shared" ca="1" si="0"/>
        <v>14</v>
      </c>
      <c r="K18">
        <f t="shared" ca="1" si="0"/>
        <v>202</v>
      </c>
      <c r="L18" s="3">
        <f t="shared" ca="1" si="2"/>
        <v>1</v>
      </c>
      <c r="M18" s="13">
        <f t="shared" ca="1" si="3"/>
        <v>7.6562197351812147E-2</v>
      </c>
      <c r="N18">
        <f t="shared" ca="1" si="4"/>
        <v>-2.4900000000000002</v>
      </c>
      <c r="O18">
        <f t="shared" ca="1" si="5"/>
        <v>0</v>
      </c>
      <c r="P18">
        <f t="shared" ca="1" si="6"/>
        <v>0</v>
      </c>
      <c r="Q18">
        <f t="shared" ca="1" si="7"/>
        <v>1</v>
      </c>
      <c r="R18">
        <f t="shared" ca="1" si="8"/>
        <v>0</v>
      </c>
      <c r="S18">
        <f t="shared" ca="1" si="9"/>
        <v>1</v>
      </c>
      <c r="T18" s="17">
        <f t="shared" ca="1" si="10"/>
        <v>4.6890476190476189</v>
      </c>
    </row>
    <row r="19" spans="2:20" x14ac:dyDescent="0.3">
      <c r="B19">
        <f t="shared" ca="1" si="1"/>
        <v>48</v>
      </c>
      <c r="C19" cm="1">
        <f t="array" aca="1" ref="C19" ca="1">INDIRECT(ADDRESS(myRAND(1,C$2,C$8:C$9)+5,C$1))</f>
        <v>1</v>
      </c>
      <c r="D19" cm="1">
        <f t="array" aca="1" ref="D19" ca="1">INDIRECT(ADDRESS(myRAND(1,D$2,D$8:D$9)+5,D$1))</f>
        <v>0</v>
      </c>
      <c r="E19" cm="1">
        <f t="array" aca="1" ref="E19" ca="1">INDIRECT(ADDRESS(myRAND(1,E$2,E$8:E$9)+5,E$1))</f>
        <v>0</v>
      </c>
      <c r="F19" cm="1">
        <f t="array" aca="1" ref="F19" ca="1">INDIRECT(ADDRESS(myRAND(1,F$2,F$8:F$9)+5,F$1))</f>
        <v>0</v>
      </c>
      <c r="G19" cm="1">
        <f t="array" aca="1" ref="G19" ca="1">INDIRECT(ADDRESS(myRAND(1,G$2,G$8:G$9)+5,G$1))</f>
        <v>0</v>
      </c>
      <c r="H19" cm="1">
        <f t="array" aca="1" ref="H19" ca="1">INDIRECT(ADDRESS(myRAND(1,H$2,H$8:H$9)+5,H$1))</f>
        <v>0</v>
      </c>
      <c r="I19" cm="1">
        <f t="array" aca="1" ref="I19" ca="1">INDIRECT(ADDRESS(myRAND(1,I$2,I$8:I$9)+5,I$1))</f>
        <v>1</v>
      </c>
      <c r="J19">
        <f t="shared" ca="1" si="0"/>
        <v>13</v>
      </c>
      <c r="K19">
        <f t="shared" ca="1" si="0"/>
        <v>199</v>
      </c>
      <c r="L19" s="3">
        <f t="shared" ca="1" si="2"/>
        <v>3</v>
      </c>
      <c r="M19" s="13">
        <f t="shared" ca="1" si="3"/>
        <v>0.2478708885604298</v>
      </c>
      <c r="N19">
        <f t="shared" ca="1" si="4"/>
        <v>-1.1100000000000001</v>
      </c>
      <c r="O19">
        <f t="shared" ca="1" si="5"/>
        <v>0</v>
      </c>
      <c r="P19">
        <f t="shared" ca="1" si="6"/>
        <v>0</v>
      </c>
      <c r="Q19">
        <f t="shared" ca="1" si="7"/>
        <v>0</v>
      </c>
      <c r="R19">
        <f t="shared" ca="1" si="8"/>
        <v>1</v>
      </c>
      <c r="S19">
        <f t="shared" ca="1" si="9"/>
        <v>1</v>
      </c>
      <c r="T19" s="17">
        <f t="shared" ca="1" si="10"/>
        <v>5.618095238095238</v>
      </c>
    </row>
    <row r="20" spans="2:20" x14ac:dyDescent="0.3">
      <c r="B20">
        <f t="shared" ca="1" si="1"/>
        <v>47</v>
      </c>
      <c r="C20" cm="1">
        <f t="array" aca="1" ref="C20" ca="1">INDIRECT(ADDRESS(myRAND(1,C$2,C$8:C$9)+5,C$1))</f>
        <v>1</v>
      </c>
      <c r="D20" cm="1">
        <f t="array" aca="1" ref="D20" ca="1">INDIRECT(ADDRESS(myRAND(1,D$2,D$8:D$9)+5,D$1))</f>
        <v>1</v>
      </c>
      <c r="E20" cm="1">
        <f t="array" aca="1" ref="E20" ca="1">INDIRECT(ADDRESS(myRAND(1,E$2,E$8:E$9)+5,E$1))</f>
        <v>1</v>
      </c>
      <c r="F20" cm="1">
        <f t="array" aca="1" ref="F20" ca="1">INDIRECT(ADDRESS(myRAND(1,F$2,F$8:F$9)+5,F$1))</f>
        <v>1</v>
      </c>
      <c r="G20" cm="1">
        <f t="array" aca="1" ref="G20" ca="1">INDIRECT(ADDRESS(myRAND(1,G$2,G$8:G$9)+5,G$1))</f>
        <v>0</v>
      </c>
      <c r="H20" cm="1">
        <f t="array" aca="1" ref="H20" ca="1">INDIRECT(ADDRESS(myRAND(1,H$2,H$8:H$9)+5,H$1))</f>
        <v>0</v>
      </c>
      <c r="I20" cm="1">
        <f t="array" aca="1" ref="I20" ca="1">INDIRECT(ADDRESS(myRAND(1,I$2,I$8:I$9)+5,I$1))</f>
        <v>1</v>
      </c>
      <c r="J20">
        <f t="shared" ca="1" si="0"/>
        <v>15</v>
      </c>
      <c r="K20">
        <f t="shared" ca="1" si="0"/>
        <v>199</v>
      </c>
      <c r="L20" s="3">
        <f t="shared" ca="1" si="2"/>
        <v>2</v>
      </c>
      <c r="M20" s="13">
        <f t="shared" ca="1" si="3"/>
        <v>0.3751935255315707</v>
      </c>
      <c r="N20">
        <f t="shared" ca="1" si="4"/>
        <v>-0.51000000000000012</v>
      </c>
      <c r="O20">
        <f t="shared" ca="1" si="5"/>
        <v>1</v>
      </c>
      <c r="P20">
        <f t="shared" ca="1" si="6"/>
        <v>0</v>
      </c>
      <c r="Q20">
        <f t="shared" ca="1" si="7"/>
        <v>0</v>
      </c>
      <c r="R20">
        <f t="shared" ca="1" si="8"/>
        <v>0</v>
      </c>
      <c r="S20">
        <f t="shared" ca="1" si="9"/>
        <v>1</v>
      </c>
      <c r="T20" s="17">
        <f t="shared" ca="1" si="10"/>
        <v>5.7414285714285711</v>
      </c>
    </row>
    <row r="21" spans="2:20" x14ac:dyDescent="0.3">
      <c r="B21">
        <f t="shared" ca="1" si="1"/>
        <v>64</v>
      </c>
      <c r="C21" cm="1">
        <f t="array" aca="1" ref="C21" ca="1">INDIRECT(ADDRESS(myRAND(1,C$2,C$8:C$9)+5,C$1))</f>
        <v>1</v>
      </c>
      <c r="D21" cm="1">
        <f t="array" aca="1" ref="D21" ca="1">INDIRECT(ADDRESS(myRAND(1,D$2,D$8:D$9)+5,D$1))</f>
        <v>1</v>
      </c>
      <c r="E21" cm="1">
        <f t="array" aca="1" ref="E21" ca="1">INDIRECT(ADDRESS(myRAND(1,E$2,E$8:E$9)+5,E$1))</f>
        <v>0</v>
      </c>
      <c r="F21" cm="1">
        <f t="array" aca="1" ref="F21" ca="1">INDIRECT(ADDRESS(myRAND(1,F$2,F$8:F$9)+5,F$1))</f>
        <v>1</v>
      </c>
      <c r="G21" cm="1">
        <f t="array" aca="1" ref="G21" ca="1">INDIRECT(ADDRESS(myRAND(1,G$2,G$8:G$9)+5,G$1))</f>
        <v>0</v>
      </c>
      <c r="H21" cm="1">
        <f t="array" aca="1" ref="H21" ca="1">INDIRECT(ADDRESS(myRAND(1,H$2,H$8:H$9)+5,H$1))</f>
        <v>0</v>
      </c>
      <c r="I21" cm="1">
        <f t="array" aca="1" ref="I21" ca="1">INDIRECT(ADDRESS(myRAND(1,I$2,I$8:I$9)+5,I$1))</f>
        <v>0</v>
      </c>
      <c r="J21">
        <f t="shared" ca="1" si="0"/>
        <v>11</v>
      </c>
      <c r="K21">
        <f t="shared" ca="1" si="0"/>
        <v>224</v>
      </c>
      <c r="L21" s="3">
        <f t="shared" ca="1" si="2"/>
        <v>3</v>
      </c>
      <c r="M21" s="13">
        <f t="shared" ca="1" si="3"/>
        <v>0.80690131576678359</v>
      </c>
      <c r="N21">
        <f t="shared" ca="1" si="4"/>
        <v>1.43</v>
      </c>
      <c r="O21">
        <f t="shared" ca="1" si="5"/>
        <v>0</v>
      </c>
      <c r="P21">
        <f t="shared" ca="1" si="6"/>
        <v>1</v>
      </c>
      <c r="Q21">
        <f t="shared" ca="1" si="7"/>
        <v>0</v>
      </c>
      <c r="R21">
        <f t="shared" ca="1" si="8"/>
        <v>0</v>
      </c>
      <c r="S21">
        <f t="shared" ca="1" si="9"/>
        <v>0</v>
      </c>
      <c r="T21" s="17">
        <f t="shared" ca="1" si="10"/>
        <v>2.7638095238095239</v>
      </c>
    </row>
    <row r="22" spans="2:20" x14ac:dyDescent="0.3">
      <c r="B22">
        <f t="shared" ca="1" si="1"/>
        <v>56</v>
      </c>
      <c r="C22" cm="1">
        <f t="array" aca="1" ref="C22" ca="1">INDIRECT(ADDRESS(myRAND(1,C$2,C$8:C$9)+5,C$1))</f>
        <v>1</v>
      </c>
      <c r="D22" cm="1">
        <f t="array" aca="1" ref="D22" ca="1">INDIRECT(ADDRESS(myRAND(1,D$2,D$8:D$9)+5,D$1))</f>
        <v>0</v>
      </c>
      <c r="E22" cm="1">
        <f t="array" aca="1" ref="E22" ca="1">INDIRECT(ADDRESS(myRAND(1,E$2,E$8:E$9)+5,E$1))</f>
        <v>0</v>
      </c>
      <c r="F22" cm="1">
        <f t="array" aca="1" ref="F22" ca="1">INDIRECT(ADDRESS(myRAND(1,F$2,F$8:F$9)+5,F$1))</f>
        <v>0</v>
      </c>
      <c r="G22" cm="1">
        <f t="array" aca="1" ref="G22" ca="1">INDIRECT(ADDRESS(myRAND(1,G$2,G$8:G$9)+5,G$1))</f>
        <v>1</v>
      </c>
      <c r="H22" cm="1">
        <f t="array" aca="1" ref="H22" ca="1">INDIRECT(ADDRESS(myRAND(1,H$2,H$8:H$9)+5,H$1))</f>
        <v>0</v>
      </c>
      <c r="I22" cm="1">
        <f t="array" aca="1" ref="I22" ca="1">INDIRECT(ADDRESS(myRAND(1,I$2,I$8:I$9)+5,I$1))</f>
        <v>1</v>
      </c>
      <c r="J22">
        <f t="shared" ca="1" si="0"/>
        <v>12</v>
      </c>
      <c r="K22">
        <f t="shared" ca="1" si="0"/>
        <v>203</v>
      </c>
      <c r="L22" s="3">
        <f t="shared" ca="1" si="2"/>
        <v>3</v>
      </c>
      <c r="M22" s="13">
        <f t="shared" ca="1" si="3"/>
        <v>0.31216866941715965</v>
      </c>
      <c r="N22">
        <f t="shared" ca="1" si="4"/>
        <v>-0.78999999999999981</v>
      </c>
      <c r="O22">
        <f t="shared" ca="1" si="5"/>
        <v>0</v>
      </c>
      <c r="P22">
        <f t="shared" ca="1" si="6"/>
        <v>0</v>
      </c>
      <c r="Q22">
        <f t="shared" ca="1" si="7"/>
        <v>0</v>
      </c>
      <c r="R22">
        <f t="shared" ca="1" si="8"/>
        <v>0</v>
      </c>
      <c r="S22">
        <f t="shared" ca="1" si="9"/>
        <v>2</v>
      </c>
      <c r="T22" s="17">
        <f t="shared" ca="1" si="10"/>
        <v>5.6504761904761907</v>
      </c>
    </row>
    <row r="23" spans="2:20" x14ac:dyDescent="0.3">
      <c r="B23">
        <f t="shared" ca="1" si="1"/>
        <v>65</v>
      </c>
      <c r="C23" cm="1">
        <f t="array" aca="1" ref="C23" ca="1">INDIRECT(ADDRESS(myRAND(1,C$2,C$8:C$9)+5,C$1))</f>
        <v>0</v>
      </c>
      <c r="D23" cm="1">
        <f t="array" aca="1" ref="D23" ca="1">INDIRECT(ADDRESS(myRAND(1,D$2,D$8:D$9)+5,D$1))</f>
        <v>1</v>
      </c>
      <c r="E23" cm="1">
        <f t="array" aca="1" ref="E23" ca="1">INDIRECT(ADDRESS(myRAND(1,E$2,E$8:E$9)+5,E$1))</f>
        <v>1</v>
      </c>
      <c r="F23" cm="1">
        <f t="array" aca="1" ref="F23" ca="1">INDIRECT(ADDRESS(myRAND(1,F$2,F$8:F$9)+5,F$1))</f>
        <v>1</v>
      </c>
      <c r="G23" cm="1">
        <f t="array" aca="1" ref="G23" ca="1">INDIRECT(ADDRESS(myRAND(1,G$2,G$8:G$9)+5,G$1))</f>
        <v>0</v>
      </c>
      <c r="H23" cm="1">
        <f t="array" aca="1" ref="H23" ca="1">INDIRECT(ADDRESS(myRAND(1,H$2,H$8:H$9)+5,H$1))</f>
        <v>0</v>
      </c>
      <c r="I23" cm="1">
        <f t="array" aca="1" ref="I23" ca="1">INDIRECT(ADDRESS(myRAND(1,I$2,I$8:I$9)+5,I$1))</f>
        <v>1</v>
      </c>
      <c r="J23">
        <f t="shared" ca="1" si="0"/>
        <v>16</v>
      </c>
      <c r="K23">
        <f t="shared" ca="1" si="0"/>
        <v>221</v>
      </c>
      <c r="L23" s="3">
        <f t="shared" ca="1" si="2"/>
        <v>2</v>
      </c>
      <c r="M23" s="13">
        <f t="shared" ca="1" si="3"/>
        <v>0.24416110090520296</v>
      </c>
      <c r="N23">
        <f t="shared" ca="1" si="4"/>
        <v>-1.1299999999999999</v>
      </c>
      <c r="O23">
        <f t="shared" ca="1" si="5"/>
        <v>1</v>
      </c>
      <c r="P23">
        <f t="shared" ca="1" si="6"/>
        <v>0</v>
      </c>
      <c r="Q23">
        <f t="shared" ca="1" si="7"/>
        <v>0</v>
      </c>
      <c r="R23">
        <f t="shared" ca="1" si="8"/>
        <v>0</v>
      </c>
      <c r="S23">
        <f t="shared" ca="1" si="9"/>
        <v>1</v>
      </c>
      <c r="T23" s="17">
        <f t="shared" ca="1" si="10"/>
        <v>5.0928571428571425</v>
      </c>
    </row>
    <row r="24" spans="2:20" x14ac:dyDescent="0.3">
      <c r="B24">
        <f t="shared" ca="1" si="1"/>
        <v>59</v>
      </c>
      <c r="C24" cm="1">
        <f t="array" aca="1" ref="C24" ca="1">INDIRECT(ADDRESS(myRAND(1,C$2,C$8:C$9)+5,C$1))</f>
        <v>0</v>
      </c>
      <c r="D24" cm="1">
        <f t="array" aca="1" ref="D24" ca="1">INDIRECT(ADDRESS(myRAND(1,D$2,D$8:D$9)+5,D$1))</f>
        <v>0</v>
      </c>
      <c r="E24" cm="1">
        <f t="array" aca="1" ref="E24" ca="1">INDIRECT(ADDRESS(myRAND(1,E$2,E$8:E$9)+5,E$1))</f>
        <v>0</v>
      </c>
      <c r="F24" cm="1">
        <f t="array" aca="1" ref="F24" ca="1">INDIRECT(ADDRESS(myRAND(1,F$2,F$8:F$9)+5,F$1))</f>
        <v>1</v>
      </c>
      <c r="G24" cm="1">
        <f t="array" aca="1" ref="G24" ca="1">INDIRECT(ADDRESS(myRAND(1,G$2,G$8:G$9)+5,G$1))</f>
        <v>0</v>
      </c>
      <c r="H24" cm="1">
        <f t="array" aca="1" ref="H24" ca="1">INDIRECT(ADDRESS(myRAND(1,H$2,H$8:H$9)+5,H$1))</f>
        <v>0</v>
      </c>
      <c r="I24" cm="1">
        <f t="array" aca="1" ref="I24" ca="1">INDIRECT(ADDRESS(myRAND(1,I$2,I$8:I$9)+5,I$1))</f>
        <v>0</v>
      </c>
      <c r="J24">
        <f t="shared" ca="1" si="0"/>
        <v>18</v>
      </c>
      <c r="K24">
        <f t="shared" ca="1" si="0"/>
        <v>221</v>
      </c>
      <c r="L24" s="3">
        <f t="shared" ca="1" si="2"/>
        <v>1</v>
      </c>
      <c r="M24" s="13">
        <f t="shared" ca="1" si="3"/>
        <v>0.11815697780926952</v>
      </c>
      <c r="N24">
        <f t="shared" ca="1" si="4"/>
        <v>-2.0100000000000002</v>
      </c>
      <c r="O24">
        <f t="shared" ca="1" si="5"/>
        <v>0</v>
      </c>
      <c r="P24">
        <f t="shared" ca="1" si="6"/>
        <v>0</v>
      </c>
      <c r="Q24">
        <f t="shared" ca="1" si="7"/>
        <v>1</v>
      </c>
      <c r="R24">
        <f t="shared" ca="1" si="8"/>
        <v>0</v>
      </c>
      <c r="S24">
        <f t="shared" ca="1" si="9"/>
        <v>0</v>
      </c>
      <c r="T24" s="17">
        <f t="shared" ca="1" si="10"/>
        <v>2.1661904761904762</v>
      </c>
    </row>
    <row r="25" spans="2:20" x14ac:dyDescent="0.3">
      <c r="B25">
        <f t="shared" ca="1" si="1"/>
        <v>52</v>
      </c>
      <c r="C25" cm="1">
        <f t="array" aca="1" ref="C25" ca="1">INDIRECT(ADDRESS(myRAND(1,C$2,C$8:C$9)+5,C$1))</f>
        <v>0</v>
      </c>
      <c r="D25" cm="1">
        <f t="array" aca="1" ref="D25" ca="1">INDIRECT(ADDRESS(myRAND(1,D$2,D$8:D$9)+5,D$1))</f>
        <v>1</v>
      </c>
      <c r="E25" cm="1">
        <f t="array" aca="1" ref="E25" ca="1">INDIRECT(ADDRESS(myRAND(1,E$2,E$8:E$9)+5,E$1))</f>
        <v>0</v>
      </c>
      <c r="F25" cm="1">
        <f t="array" aca="1" ref="F25" ca="1">INDIRECT(ADDRESS(myRAND(1,F$2,F$8:F$9)+5,F$1))</f>
        <v>1</v>
      </c>
      <c r="G25" cm="1">
        <f t="array" aca="1" ref="G25" ca="1">INDIRECT(ADDRESS(myRAND(1,G$2,G$8:G$9)+5,G$1))</f>
        <v>1</v>
      </c>
      <c r="H25" cm="1">
        <f t="array" aca="1" ref="H25" ca="1">INDIRECT(ADDRESS(myRAND(1,H$2,H$8:H$9)+5,H$1))</f>
        <v>0</v>
      </c>
      <c r="I25" cm="1">
        <f t="array" aca="1" ref="I25" ca="1">INDIRECT(ADDRESS(myRAND(1,I$2,I$8:I$9)+5,I$1))</f>
        <v>0</v>
      </c>
      <c r="J25">
        <f t="shared" ca="1" si="0"/>
        <v>19</v>
      </c>
      <c r="K25">
        <f t="shared" ca="1" si="0"/>
        <v>227</v>
      </c>
      <c r="L25" s="3">
        <f t="shared" ca="1" si="2"/>
        <v>2</v>
      </c>
      <c r="M25" s="13">
        <f t="shared" ca="1" si="3"/>
        <v>0.40371730070321216</v>
      </c>
      <c r="N25">
        <f t="shared" ca="1" si="4"/>
        <v>-0.39000000000000012</v>
      </c>
      <c r="O25">
        <f t="shared" ca="1" si="5"/>
        <v>0</v>
      </c>
      <c r="P25">
        <f t="shared" ca="1" si="6"/>
        <v>1</v>
      </c>
      <c r="Q25">
        <f t="shared" ca="1" si="7"/>
        <v>0</v>
      </c>
      <c r="R25">
        <f t="shared" ca="1" si="8"/>
        <v>0</v>
      </c>
      <c r="S25">
        <f t="shared" ca="1" si="9"/>
        <v>1</v>
      </c>
      <c r="T25" s="17">
        <f t="shared" ca="1" si="10"/>
        <v>2.1914285714285713</v>
      </c>
    </row>
    <row r="26" spans="2:20" x14ac:dyDescent="0.3">
      <c r="B26">
        <f t="shared" ca="1" si="1"/>
        <v>61</v>
      </c>
      <c r="C26" cm="1">
        <f t="array" aca="1" ref="C26" ca="1">INDIRECT(ADDRESS(myRAND(1,C$2,C$8:C$9)+5,C$1))</f>
        <v>1</v>
      </c>
      <c r="D26" cm="1">
        <f t="array" aca="1" ref="D26" ca="1">INDIRECT(ADDRESS(myRAND(1,D$2,D$8:D$9)+5,D$1))</f>
        <v>0</v>
      </c>
      <c r="E26" cm="1">
        <f t="array" aca="1" ref="E26" ca="1">INDIRECT(ADDRESS(myRAND(1,E$2,E$8:E$9)+5,E$1))</f>
        <v>0</v>
      </c>
      <c r="F26" cm="1">
        <f t="array" aca="1" ref="F26" ca="1">INDIRECT(ADDRESS(myRAND(1,F$2,F$8:F$9)+5,F$1))</f>
        <v>0</v>
      </c>
      <c r="G26" cm="1">
        <f t="array" aca="1" ref="G26" ca="1">INDIRECT(ADDRESS(myRAND(1,G$2,G$8:G$9)+5,G$1))</f>
        <v>0</v>
      </c>
      <c r="H26" cm="1">
        <f t="array" aca="1" ref="H26" ca="1">INDIRECT(ADDRESS(myRAND(1,H$2,H$8:H$9)+5,H$1))</f>
        <v>0</v>
      </c>
      <c r="I26" cm="1">
        <f t="array" aca="1" ref="I26" ca="1">INDIRECT(ADDRESS(myRAND(1,I$2,I$8:I$9)+5,I$1))</f>
        <v>1</v>
      </c>
      <c r="J26">
        <f t="shared" ca="1" si="0"/>
        <v>14</v>
      </c>
      <c r="K26">
        <f t="shared" ca="1" si="0"/>
        <v>225</v>
      </c>
      <c r="L26" s="3">
        <f t="shared" ca="1" si="2"/>
        <v>3</v>
      </c>
      <c r="M26" s="13">
        <f t="shared" ca="1" si="3"/>
        <v>0.35663485430559827</v>
      </c>
      <c r="N26">
        <f t="shared" ca="1" si="4"/>
        <v>-0.59000000000000008</v>
      </c>
      <c r="O26">
        <f t="shared" ca="1" si="5"/>
        <v>0</v>
      </c>
      <c r="P26">
        <f t="shared" ca="1" si="6"/>
        <v>0</v>
      </c>
      <c r="Q26">
        <f t="shared" ca="1" si="7"/>
        <v>0</v>
      </c>
      <c r="R26">
        <f t="shared" ca="1" si="8"/>
        <v>1</v>
      </c>
      <c r="S26">
        <f t="shared" ca="1" si="9"/>
        <v>1</v>
      </c>
      <c r="T26" s="17">
        <f t="shared" ca="1" si="10"/>
        <v>5.9385714285714286</v>
      </c>
    </row>
    <row r="27" spans="2:20" x14ac:dyDescent="0.3">
      <c r="B27">
        <f t="shared" ca="1" si="1"/>
        <v>38</v>
      </c>
      <c r="C27" cm="1">
        <f t="array" aca="1" ref="C27" ca="1">INDIRECT(ADDRESS(myRAND(1,C$2,C$8:C$9)+5,C$1))</f>
        <v>1</v>
      </c>
      <c r="D27" cm="1">
        <f t="array" aca="1" ref="D27" ca="1">INDIRECT(ADDRESS(myRAND(1,D$2,D$8:D$9)+5,D$1))</f>
        <v>0</v>
      </c>
      <c r="E27" cm="1">
        <f t="array" aca="1" ref="E27" ca="1">INDIRECT(ADDRESS(myRAND(1,E$2,E$8:E$9)+5,E$1))</f>
        <v>1</v>
      </c>
      <c r="F27" cm="1">
        <f t="array" aca="1" ref="F27" ca="1">INDIRECT(ADDRESS(myRAND(1,F$2,F$8:F$9)+5,F$1))</f>
        <v>0</v>
      </c>
      <c r="G27" cm="1">
        <f t="array" aca="1" ref="G27" ca="1">INDIRECT(ADDRESS(myRAND(1,G$2,G$8:G$9)+5,G$1))</f>
        <v>0</v>
      </c>
      <c r="H27" cm="1">
        <f t="array" aca="1" ref="H27" ca="1">INDIRECT(ADDRESS(myRAND(1,H$2,H$8:H$9)+5,H$1))</f>
        <v>0</v>
      </c>
      <c r="I27" cm="1">
        <f t="array" aca="1" ref="I27" ca="1">INDIRECT(ADDRESS(myRAND(1,I$2,I$8:I$9)+5,I$1))</f>
        <v>1</v>
      </c>
      <c r="J27">
        <f t="shared" ca="1" si="0"/>
        <v>12</v>
      </c>
      <c r="K27">
        <f t="shared" ca="1" si="0"/>
        <v>185</v>
      </c>
      <c r="L27" s="3">
        <f t="shared" ca="1" si="2"/>
        <v>2</v>
      </c>
      <c r="M27" s="13">
        <f t="shared" ca="1" si="3"/>
        <v>0.18093879315214201</v>
      </c>
      <c r="N27">
        <f t="shared" ca="1" si="4"/>
        <v>-1.51</v>
      </c>
      <c r="O27">
        <f t="shared" ca="1" si="5"/>
        <v>0</v>
      </c>
      <c r="P27">
        <f t="shared" ca="1" si="6"/>
        <v>0</v>
      </c>
      <c r="Q27">
        <f t="shared" ca="1" si="7"/>
        <v>1</v>
      </c>
      <c r="R27">
        <f t="shared" ca="1" si="8"/>
        <v>0</v>
      </c>
      <c r="S27">
        <f t="shared" ca="1" si="9"/>
        <v>1</v>
      </c>
      <c r="T27" s="17">
        <f t="shared" ca="1" si="10"/>
        <v>5.3847619047619046</v>
      </c>
    </row>
    <row r="28" spans="2:20" x14ac:dyDescent="0.3">
      <c r="B28">
        <f t="shared" ca="1" si="1"/>
        <v>43</v>
      </c>
      <c r="C28" cm="1">
        <f t="array" aca="1" ref="C28" ca="1">INDIRECT(ADDRESS(myRAND(1,C$2,C$8:C$9)+5,C$1))</f>
        <v>1</v>
      </c>
      <c r="D28" cm="1">
        <f t="array" aca="1" ref="D28" ca="1">INDIRECT(ADDRESS(myRAND(1,D$2,D$8:D$9)+5,D$1))</f>
        <v>0</v>
      </c>
      <c r="E28" cm="1">
        <f t="array" aca="1" ref="E28" ca="1">INDIRECT(ADDRESS(myRAND(1,E$2,E$8:E$9)+5,E$1))</f>
        <v>0</v>
      </c>
      <c r="F28" cm="1">
        <f t="array" aca="1" ref="F28" ca="1">INDIRECT(ADDRESS(myRAND(1,F$2,F$8:F$9)+5,F$1))</f>
        <v>0</v>
      </c>
      <c r="G28" cm="1">
        <f t="array" aca="1" ref="G28" ca="1">INDIRECT(ADDRESS(myRAND(1,G$2,G$8:G$9)+5,G$1))</f>
        <v>0</v>
      </c>
      <c r="H28" cm="1">
        <f t="array" aca="1" ref="H28" ca="1">INDIRECT(ADDRESS(myRAND(1,H$2,H$8:H$9)+5,H$1))</f>
        <v>0</v>
      </c>
      <c r="I28" cm="1">
        <f t="array" aca="1" ref="I28" ca="1">INDIRECT(ADDRESS(myRAND(1,I$2,I$8:I$9)+5,I$1))</f>
        <v>1</v>
      </c>
      <c r="J28">
        <f t="shared" ca="1" si="0"/>
        <v>15</v>
      </c>
      <c r="K28">
        <f t="shared" ca="1" si="0"/>
        <v>206</v>
      </c>
      <c r="L28" s="3">
        <f t="shared" ca="1" si="2"/>
        <v>3</v>
      </c>
      <c r="M28" s="13">
        <f t="shared" ca="1" si="3"/>
        <v>0.21248684412253913</v>
      </c>
      <c r="N28">
        <f t="shared" ca="1" si="4"/>
        <v>-1.3100000000000003</v>
      </c>
      <c r="O28">
        <f t="shared" ca="1" si="5"/>
        <v>0</v>
      </c>
      <c r="P28">
        <f t="shared" ca="1" si="6"/>
        <v>0</v>
      </c>
      <c r="Q28">
        <f t="shared" ca="1" si="7"/>
        <v>0</v>
      </c>
      <c r="R28">
        <f t="shared" ca="1" si="8"/>
        <v>1</v>
      </c>
      <c r="S28">
        <f t="shared" ca="1" si="9"/>
        <v>1</v>
      </c>
      <c r="T28" s="17">
        <f t="shared" ca="1" si="10"/>
        <v>5.7347619047619052</v>
      </c>
    </row>
    <row r="29" spans="2:20" x14ac:dyDescent="0.3">
      <c r="B29">
        <f t="shared" ca="1" si="1"/>
        <v>60</v>
      </c>
      <c r="C29" cm="1">
        <f t="array" aca="1" ref="C29" ca="1">INDIRECT(ADDRESS(myRAND(1,C$2,C$8:C$9)+5,C$1))</f>
        <v>0</v>
      </c>
      <c r="D29" cm="1">
        <f t="array" aca="1" ref="D29" ca="1">INDIRECT(ADDRESS(myRAND(1,D$2,D$8:D$9)+5,D$1))</f>
        <v>0</v>
      </c>
      <c r="E29" cm="1">
        <f t="array" aca="1" ref="E29" ca="1">INDIRECT(ADDRESS(myRAND(1,E$2,E$8:E$9)+5,E$1))</f>
        <v>1</v>
      </c>
      <c r="F29" cm="1">
        <f t="array" aca="1" ref="F29" ca="1">INDIRECT(ADDRESS(myRAND(1,F$2,F$8:F$9)+5,F$1))</f>
        <v>1</v>
      </c>
      <c r="G29" cm="1">
        <f t="array" aca="1" ref="G29" ca="1">INDIRECT(ADDRESS(myRAND(1,G$2,G$8:G$9)+5,G$1))</f>
        <v>1</v>
      </c>
      <c r="H29" cm="1">
        <f t="array" aca="1" ref="H29" ca="1">INDIRECT(ADDRESS(myRAND(1,H$2,H$8:H$9)+5,H$1))</f>
        <v>0</v>
      </c>
      <c r="I29" cm="1">
        <f t="array" aca="1" ref="I29" ca="1">INDIRECT(ADDRESS(myRAND(1,I$2,I$8:I$9)+5,I$1))</f>
        <v>0</v>
      </c>
      <c r="J29">
        <f t="shared" ca="1" si="0"/>
        <v>11</v>
      </c>
      <c r="K29">
        <f t="shared" ca="1" si="0"/>
        <v>174</v>
      </c>
      <c r="L29" s="3">
        <f t="shared" ca="1" si="2"/>
        <v>3</v>
      </c>
      <c r="M29" s="13">
        <f t="shared" ca="1" si="3"/>
        <v>0.48250714233361014</v>
      </c>
      <c r="N29">
        <f t="shared" ca="1" si="4"/>
        <v>-7.0000000000000284E-2</v>
      </c>
      <c r="O29">
        <f t="shared" ca="1" si="5"/>
        <v>0</v>
      </c>
      <c r="P29">
        <f t="shared" ca="1" si="6"/>
        <v>1</v>
      </c>
      <c r="Q29">
        <f t="shared" ca="1" si="7"/>
        <v>0</v>
      </c>
      <c r="R29">
        <f t="shared" ca="1" si="8"/>
        <v>0</v>
      </c>
      <c r="S29">
        <f t="shared" ca="1" si="9"/>
        <v>1</v>
      </c>
      <c r="T29" s="17">
        <f t="shared" ca="1" si="10"/>
        <v>1.4857142857142858</v>
      </c>
    </row>
    <row r="30" spans="2:20" x14ac:dyDescent="0.3">
      <c r="B30">
        <f t="shared" ca="1" si="1"/>
        <v>52</v>
      </c>
      <c r="C30" cm="1">
        <f t="array" aca="1" ref="C30" ca="1">INDIRECT(ADDRESS(myRAND(1,C$2,C$8:C$9)+5,C$1))</f>
        <v>0</v>
      </c>
      <c r="D30" cm="1">
        <f t="array" aca="1" ref="D30" ca="1">INDIRECT(ADDRESS(myRAND(1,D$2,D$8:D$9)+5,D$1))</f>
        <v>1</v>
      </c>
      <c r="E30" cm="1">
        <f t="array" aca="1" ref="E30" ca="1">INDIRECT(ADDRESS(myRAND(1,E$2,E$8:E$9)+5,E$1))</f>
        <v>0</v>
      </c>
      <c r="F30" cm="1">
        <f t="array" aca="1" ref="F30" ca="1">INDIRECT(ADDRESS(myRAND(1,F$2,F$8:F$9)+5,F$1))</f>
        <v>1</v>
      </c>
      <c r="G30" cm="1">
        <f t="array" aca="1" ref="G30" ca="1">INDIRECT(ADDRESS(myRAND(1,G$2,G$8:G$9)+5,G$1))</f>
        <v>0</v>
      </c>
      <c r="H30" cm="1">
        <f t="array" aca="1" ref="H30" ca="1">INDIRECT(ADDRESS(myRAND(1,H$2,H$8:H$9)+5,H$1))</f>
        <v>0</v>
      </c>
      <c r="I30" cm="1">
        <f t="array" aca="1" ref="I30" ca="1">INDIRECT(ADDRESS(myRAND(1,I$2,I$8:I$9)+5,I$1))</f>
        <v>0</v>
      </c>
      <c r="J30">
        <f t="shared" ca="1" si="0"/>
        <v>14</v>
      </c>
      <c r="K30">
        <f t="shared" ca="1" si="0"/>
        <v>210</v>
      </c>
      <c r="L30" s="3">
        <f t="shared" ca="1" si="2"/>
        <v>3</v>
      </c>
      <c r="M30" s="13">
        <f t="shared" ca="1" si="3"/>
        <v>0.40371730070321216</v>
      </c>
      <c r="N30">
        <f t="shared" ca="1" si="4"/>
        <v>-0.39000000000000012</v>
      </c>
      <c r="O30">
        <f t="shared" ca="1" si="5"/>
        <v>0</v>
      </c>
      <c r="P30">
        <f t="shared" ca="1" si="6"/>
        <v>1</v>
      </c>
      <c r="Q30">
        <f t="shared" ca="1" si="7"/>
        <v>0</v>
      </c>
      <c r="R30">
        <f t="shared" ca="1" si="8"/>
        <v>0</v>
      </c>
      <c r="S30">
        <f t="shared" ca="1" si="9"/>
        <v>0</v>
      </c>
      <c r="T30" s="17">
        <f t="shared" ca="1" si="10"/>
        <v>1.7771428571428571</v>
      </c>
    </row>
    <row r="31" spans="2:20" x14ac:dyDescent="0.3">
      <c r="B31">
        <f t="shared" ca="1" si="1"/>
        <v>53</v>
      </c>
      <c r="C31" cm="1">
        <f t="array" aca="1" ref="C31" ca="1">INDIRECT(ADDRESS(myRAND(1,C$2,C$8:C$9)+5,C$1))</f>
        <v>0</v>
      </c>
      <c r="D31" cm="1">
        <f t="array" aca="1" ref="D31" ca="1">INDIRECT(ADDRESS(myRAND(1,D$2,D$8:D$9)+5,D$1))</f>
        <v>0</v>
      </c>
      <c r="E31" cm="1">
        <f t="array" aca="1" ref="E31" ca="1">INDIRECT(ADDRESS(myRAND(1,E$2,E$8:E$9)+5,E$1))</f>
        <v>0</v>
      </c>
      <c r="F31" cm="1">
        <f t="array" aca="1" ref="F31" ca="1">INDIRECT(ADDRESS(myRAND(1,F$2,F$8:F$9)+5,F$1))</f>
        <v>0</v>
      </c>
      <c r="G31" cm="1">
        <f t="array" aca="1" ref="G31" ca="1">INDIRECT(ADDRESS(myRAND(1,G$2,G$8:G$9)+5,G$1))</f>
        <v>1</v>
      </c>
      <c r="H31" cm="1">
        <f t="array" aca="1" ref="H31" ca="1">INDIRECT(ADDRESS(myRAND(1,H$2,H$8:H$9)+5,H$1))</f>
        <v>0</v>
      </c>
      <c r="I31" cm="1">
        <f t="array" aca="1" ref="I31" ca="1">INDIRECT(ADDRESS(myRAND(1,I$2,I$8:I$9)+5,I$1))</f>
        <v>0</v>
      </c>
      <c r="J31">
        <f t="shared" ca="1" si="0"/>
        <v>19</v>
      </c>
      <c r="K31">
        <f t="shared" ca="1" si="0"/>
        <v>218</v>
      </c>
      <c r="L31" s="3">
        <f t="shared" ca="1" si="2"/>
        <v>1</v>
      </c>
      <c r="M31" s="13">
        <f t="shared" ca="1" si="3"/>
        <v>9.534946489910949E-2</v>
      </c>
      <c r="N31">
        <f t="shared" ca="1" si="4"/>
        <v>-2.25</v>
      </c>
      <c r="O31">
        <f t="shared" ca="1" si="5"/>
        <v>0</v>
      </c>
      <c r="P31">
        <f t="shared" ca="1" si="6"/>
        <v>0</v>
      </c>
      <c r="Q31">
        <f t="shared" ca="1" si="7"/>
        <v>0</v>
      </c>
      <c r="R31">
        <f t="shared" ca="1" si="8"/>
        <v>0</v>
      </c>
      <c r="S31">
        <f t="shared" ca="1" si="9"/>
        <v>1</v>
      </c>
      <c r="T31" s="17">
        <f t="shared" ca="1" si="10"/>
        <v>2.1585714285714284</v>
      </c>
    </row>
    <row r="32" spans="2:20" x14ac:dyDescent="0.3">
      <c r="B32">
        <f t="shared" ca="1" si="1"/>
        <v>44</v>
      </c>
      <c r="C32" cm="1">
        <f t="array" aca="1" ref="C32" ca="1">INDIRECT(ADDRESS(myRAND(1,C$2,C$8:C$9)+5,C$1))</f>
        <v>1</v>
      </c>
      <c r="D32" cm="1">
        <f t="array" aca="1" ref="D32" ca="1">INDIRECT(ADDRESS(myRAND(1,D$2,D$8:D$9)+5,D$1))</f>
        <v>0</v>
      </c>
      <c r="E32" cm="1">
        <f t="array" aca="1" ref="E32" ca="1">INDIRECT(ADDRESS(myRAND(1,E$2,E$8:E$9)+5,E$1))</f>
        <v>0</v>
      </c>
      <c r="F32" cm="1">
        <f t="array" aca="1" ref="F32" ca="1">INDIRECT(ADDRESS(myRAND(1,F$2,F$8:F$9)+5,F$1))</f>
        <v>1</v>
      </c>
      <c r="G32" cm="1">
        <f t="array" aca="1" ref="G32" ca="1">INDIRECT(ADDRESS(myRAND(1,G$2,G$8:G$9)+5,G$1))</f>
        <v>0</v>
      </c>
      <c r="H32" cm="1">
        <f t="array" aca="1" ref="H32" ca="1">INDIRECT(ADDRESS(myRAND(1,H$2,H$8:H$9)+5,H$1))</f>
        <v>1</v>
      </c>
      <c r="I32" cm="1">
        <f t="array" aca="1" ref="I32" ca="1">INDIRECT(ADDRESS(myRAND(1,I$2,I$8:I$9)+5,I$1))</f>
        <v>1</v>
      </c>
      <c r="J32">
        <f t="shared" ca="1" si="0"/>
        <v>20</v>
      </c>
      <c r="K32">
        <f t="shared" ca="1" si="0"/>
        <v>177</v>
      </c>
      <c r="L32" s="3">
        <f t="shared" ca="1" si="2"/>
        <v>3</v>
      </c>
      <c r="M32" s="13">
        <f t="shared" ca="1" si="3"/>
        <v>0.2192572520878717</v>
      </c>
      <c r="N32">
        <f t="shared" ca="1" si="4"/>
        <v>-1.2700000000000002</v>
      </c>
      <c r="O32">
        <f t="shared" ca="1" si="5"/>
        <v>0</v>
      </c>
      <c r="P32">
        <f t="shared" ca="1" si="6"/>
        <v>0</v>
      </c>
      <c r="Q32">
        <f t="shared" ca="1" si="7"/>
        <v>1</v>
      </c>
      <c r="R32">
        <f t="shared" ca="1" si="8"/>
        <v>0</v>
      </c>
      <c r="S32">
        <f t="shared" ca="1" si="9"/>
        <v>2</v>
      </c>
      <c r="T32" s="17">
        <f t="shared" ca="1" si="10"/>
        <v>5.9399999999999995</v>
      </c>
    </row>
    <row r="33" spans="2:20" x14ac:dyDescent="0.3">
      <c r="B33">
        <f t="shared" ca="1" si="1"/>
        <v>67</v>
      </c>
      <c r="C33" cm="1">
        <f t="array" aca="1" ref="C33" ca="1">INDIRECT(ADDRESS(myRAND(1,C$2,C$8:C$9)+5,C$1))</f>
        <v>1</v>
      </c>
      <c r="D33" cm="1">
        <f t="array" aca="1" ref="D33" ca="1">INDIRECT(ADDRESS(myRAND(1,D$2,D$8:D$9)+5,D$1))</f>
        <v>0</v>
      </c>
      <c r="E33" cm="1">
        <f t="array" aca="1" ref="E33" ca="1">INDIRECT(ADDRESS(myRAND(1,E$2,E$8:E$9)+5,E$1))</f>
        <v>1</v>
      </c>
      <c r="F33" cm="1">
        <f t="array" aca="1" ref="F33" ca="1">INDIRECT(ADDRESS(myRAND(1,F$2,F$8:F$9)+5,F$1))</f>
        <v>1</v>
      </c>
      <c r="G33" cm="1">
        <f t="array" aca="1" ref="G33" ca="1">INDIRECT(ADDRESS(myRAND(1,G$2,G$8:G$9)+5,G$1))</f>
        <v>0</v>
      </c>
      <c r="H33" cm="1">
        <f t="array" aca="1" ref="H33" ca="1">INDIRECT(ADDRESS(myRAND(1,H$2,H$8:H$9)+5,H$1))</f>
        <v>1</v>
      </c>
      <c r="I33" cm="1">
        <f t="array" aca="1" ref="I33" ca="1">INDIRECT(ADDRESS(myRAND(1,I$2,I$8:I$9)+5,I$1))</f>
        <v>1</v>
      </c>
      <c r="J33">
        <f t="shared" ca="1" si="0"/>
        <v>20</v>
      </c>
      <c r="K33">
        <f t="shared" ca="1" si="0"/>
        <v>195</v>
      </c>
      <c r="L33" s="3">
        <f t="shared" ca="1" si="2"/>
        <v>3</v>
      </c>
      <c r="M33" s="13">
        <f t="shared" ca="1" si="3"/>
        <v>0.82491373183596017</v>
      </c>
      <c r="N33">
        <f t="shared" ca="1" si="4"/>
        <v>1.55</v>
      </c>
      <c r="O33">
        <f t="shared" ca="1" si="5"/>
        <v>0</v>
      </c>
      <c r="P33">
        <f t="shared" ca="1" si="6"/>
        <v>1</v>
      </c>
      <c r="Q33">
        <f t="shared" ca="1" si="7"/>
        <v>0</v>
      </c>
      <c r="R33">
        <f t="shared" ca="1" si="8"/>
        <v>0</v>
      </c>
      <c r="S33">
        <f t="shared" ca="1" si="9"/>
        <v>2</v>
      </c>
      <c r="T33" s="17">
        <f t="shared" ca="1" si="10"/>
        <v>6.2557142857142853</v>
      </c>
    </row>
    <row r="34" spans="2:20" x14ac:dyDescent="0.3">
      <c r="B34">
        <f t="shared" ca="1" si="1"/>
        <v>60</v>
      </c>
      <c r="C34" cm="1">
        <f t="array" aca="1" ref="C34" ca="1">INDIRECT(ADDRESS(myRAND(1,C$2,C$8:C$9)+5,C$1))</f>
        <v>0</v>
      </c>
      <c r="D34" cm="1">
        <f t="array" aca="1" ref="D34" ca="1">INDIRECT(ADDRESS(myRAND(1,D$2,D$8:D$9)+5,D$1))</f>
        <v>0</v>
      </c>
      <c r="E34" cm="1">
        <f t="array" aca="1" ref="E34" ca="1">INDIRECT(ADDRESS(myRAND(1,E$2,E$8:E$9)+5,E$1))</f>
        <v>1</v>
      </c>
      <c r="F34" cm="1">
        <f t="array" aca="1" ref="F34" ca="1">INDIRECT(ADDRESS(myRAND(1,F$2,F$8:F$9)+5,F$1))</f>
        <v>1</v>
      </c>
      <c r="G34" cm="1">
        <f t="array" aca="1" ref="G34" ca="1">INDIRECT(ADDRESS(myRAND(1,G$2,G$8:G$9)+5,G$1))</f>
        <v>1</v>
      </c>
      <c r="H34" cm="1">
        <f t="array" aca="1" ref="H34" ca="1">INDIRECT(ADDRESS(myRAND(1,H$2,H$8:H$9)+5,H$1))</f>
        <v>1</v>
      </c>
      <c r="I34" cm="1">
        <f t="array" aca="1" ref="I34" ca="1">INDIRECT(ADDRESS(myRAND(1,I$2,I$8:I$9)+5,I$1))</f>
        <v>1</v>
      </c>
      <c r="J34">
        <f t="shared" ca="1" si="0"/>
        <v>15</v>
      </c>
      <c r="K34">
        <f t="shared" ca="1" si="0"/>
        <v>227</v>
      </c>
      <c r="L34" s="3">
        <f t="shared" ca="1" si="2"/>
        <v>3</v>
      </c>
      <c r="M34" s="13">
        <f t="shared" ca="1" si="3"/>
        <v>0.48250714233361014</v>
      </c>
      <c r="N34">
        <f t="shared" ca="1" si="4"/>
        <v>-7.0000000000000284E-2</v>
      </c>
      <c r="O34">
        <f t="shared" ca="1" si="5"/>
        <v>0</v>
      </c>
      <c r="P34">
        <f t="shared" ca="1" si="6"/>
        <v>1</v>
      </c>
      <c r="Q34">
        <f t="shared" ca="1" si="7"/>
        <v>0</v>
      </c>
      <c r="R34">
        <f t="shared" ca="1" si="8"/>
        <v>0</v>
      </c>
      <c r="S34">
        <f t="shared" ca="1" si="9"/>
        <v>3</v>
      </c>
      <c r="T34" s="17">
        <f t="shared" ca="1" si="10"/>
        <v>5.0047619047619047</v>
      </c>
    </row>
    <row r="35" spans="2:20" x14ac:dyDescent="0.3">
      <c r="B35">
        <f t="shared" ca="1" si="1"/>
        <v>49</v>
      </c>
      <c r="C35" cm="1">
        <f t="array" aca="1" ref="C35" ca="1">INDIRECT(ADDRESS(myRAND(1,C$2,C$8:C$9)+5,C$1))</f>
        <v>0</v>
      </c>
      <c r="D35" cm="1">
        <f t="array" aca="1" ref="D35" ca="1">INDIRECT(ADDRESS(myRAND(1,D$2,D$8:D$9)+5,D$1))</f>
        <v>1</v>
      </c>
      <c r="E35" cm="1">
        <f t="array" aca="1" ref="E35" ca="1">INDIRECT(ADDRESS(myRAND(1,E$2,E$8:E$9)+5,E$1))</f>
        <v>0</v>
      </c>
      <c r="F35" cm="1">
        <f t="array" aca="1" ref="F35" ca="1">INDIRECT(ADDRESS(myRAND(1,F$2,F$8:F$9)+5,F$1))</f>
        <v>1</v>
      </c>
      <c r="G35" cm="1">
        <f t="array" aca="1" ref="G35" ca="1">INDIRECT(ADDRESS(myRAND(1,G$2,G$8:G$9)+5,G$1))</f>
        <v>0</v>
      </c>
      <c r="H35" cm="1">
        <f t="array" aca="1" ref="H35" ca="1">INDIRECT(ADDRESS(myRAND(1,H$2,H$8:H$9)+5,H$1))</f>
        <v>0</v>
      </c>
      <c r="I35" cm="1">
        <f t="array" aca="1" ref="I35" ca="1">INDIRECT(ADDRESS(myRAND(1,I$2,I$8:I$9)+5,I$1))</f>
        <v>1</v>
      </c>
      <c r="J35">
        <f t="shared" ca="1" si="0"/>
        <v>12</v>
      </c>
      <c r="K35">
        <f t="shared" ca="1" si="0"/>
        <v>203</v>
      </c>
      <c r="L35" s="3">
        <f t="shared" ca="1" si="2"/>
        <v>3</v>
      </c>
      <c r="M35" s="13">
        <f t="shared" ca="1" si="3"/>
        <v>0.37519352553157065</v>
      </c>
      <c r="N35">
        <f t="shared" ca="1" si="4"/>
        <v>-0.51000000000000023</v>
      </c>
      <c r="O35">
        <f t="shared" ca="1" si="5"/>
        <v>0</v>
      </c>
      <c r="P35">
        <f t="shared" ca="1" si="6"/>
        <v>1</v>
      </c>
      <c r="Q35">
        <f t="shared" ca="1" si="7"/>
        <v>0</v>
      </c>
      <c r="R35">
        <f t="shared" ca="1" si="8"/>
        <v>0</v>
      </c>
      <c r="S35">
        <f t="shared" ca="1" si="9"/>
        <v>1</v>
      </c>
      <c r="T35" s="17">
        <f t="shared" ca="1" si="10"/>
        <v>4.5804761904761904</v>
      </c>
    </row>
    <row r="36" spans="2:20" x14ac:dyDescent="0.3">
      <c r="B36">
        <f t="shared" ca="1" si="1"/>
        <v>67</v>
      </c>
      <c r="C36" cm="1">
        <f t="array" aca="1" ref="C36" ca="1">INDIRECT(ADDRESS(myRAND(1,C$2,C$8:C$9)+5,C$1))</f>
        <v>0</v>
      </c>
      <c r="D36" cm="1">
        <f t="array" aca="1" ref="D36" ca="1">INDIRECT(ADDRESS(myRAND(1,D$2,D$8:D$9)+5,D$1))</f>
        <v>0</v>
      </c>
      <c r="E36" cm="1">
        <f t="array" aca="1" ref="E36" ca="1">INDIRECT(ADDRESS(myRAND(1,E$2,E$8:E$9)+5,E$1))</f>
        <v>0</v>
      </c>
      <c r="F36" cm="1">
        <f t="array" aca="1" ref="F36" ca="1">INDIRECT(ADDRESS(myRAND(1,F$2,F$8:F$9)+5,F$1))</f>
        <v>1</v>
      </c>
      <c r="G36" cm="1">
        <f t="array" aca="1" ref="G36" ca="1">INDIRECT(ADDRESS(myRAND(1,G$2,G$8:G$9)+5,G$1))</f>
        <v>0</v>
      </c>
      <c r="H36" cm="1">
        <f t="array" aca="1" ref="H36" ca="1">INDIRECT(ADDRESS(myRAND(1,H$2,H$8:H$9)+5,H$1))</f>
        <v>0</v>
      </c>
      <c r="I36" cm="1">
        <f t="array" aca="1" ref="I36" ca="1">INDIRECT(ADDRESS(myRAND(1,I$2,I$8:I$9)+5,I$1))</f>
        <v>0</v>
      </c>
      <c r="J36">
        <f t="shared" ca="1" si="0"/>
        <v>14</v>
      </c>
      <c r="K36">
        <f t="shared" ca="1" si="0"/>
        <v>174</v>
      </c>
      <c r="L36" s="3">
        <f t="shared" ca="1" si="2"/>
        <v>2</v>
      </c>
      <c r="M36" s="13">
        <f t="shared" ca="1" si="3"/>
        <v>0.1557758401237474</v>
      </c>
      <c r="N36">
        <f t="shared" ca="1" si="4"/>
        <v>-1.69</v>
      </c>
      <c r="O36">
        <f t="shared" ca="1" si="5"/>
        <v>0</v>
      </c>
      <c r="P36">
        <f t="shared" ca="1" si="6"/>
        <v>0</v>
      </c>
      <c r="Q36">
        <f t="shared" ca="1" si="7"/>
        <v>1</v>
      </c>
      <c r="R36">
        <f t="shared" ca="1" si="8"/>
        <v>0</v>
      </c>
      <c r="S36">
        <f t="shared" ca="1" si="9"/>
        <v>0</v>
      </c>
      <c r="T36" s="17">
        <f t="shared" ca="1" si="10"/>
        <v>1.7557142857142858</v>
      </c>
    </row>
    <row r="37" spans="2:20" x14ac:dyDescent="0.3">
      <c r="B37">
        <f t="shared" ca="1" si="1"/>
        <v>41</v>
      </c>
      <c r="C37" cm="1">
        <f t="array" aca="1" ref="C37" ca="1">INDIRECT(ADDRESS(myRAND(1,C$2,C$8:C$9)+5,C$1))</f>
        <v>0</v>
      </c>
      <c r="D37" cm="1">
        <f t="array" aca="1" ref="D37" ca="1">INDIRECT(ADDRESS(myRAND(1,D$2,D$8:D$9)+5,D$1))</f>
        <v>1</v>
      </c>
      <c r="E37" cm="1">
        <f t="array" aca="1" ref="E37" ca="1">INDIRECT(ADDRESS(myRAND(1,E$2,E$8:E$9)+5,E$1))</f>
        <v>0</v>
      </c>
      <c r="F37" cm="1">
        <f t="array" aca="1" ref="F37" ca="1">INDIRECT(ADDRESS(myRAND(1,F$2,F$8:F$9)+5,F$1))</f>
        <v>1</v>
      </c>
      <c r="G37" cm="1">
        <f t="array" aca="1" ref="G37" ca="1">INDIRECT(ADDRESS(myRAND(1,G$2,G$8:G$9)+5,G$1))</f>
        <v>0</v>
      </c>
      <c r="H37" cm="1">
        <f t="array" aca="1" ref="H37" ca="1">INDIRECT(ADDRESS(myRAND(1,H$2,H$8:H$9)+5,H$1))</f>
        <v>1</v>
      </c>
      <c r="I37" cm="1">
        <f t="array" aca="1" ref="I37" ca="1">INDIRECT(ADDRESS(myRAND(1,I$2,I$8:I$9)+5,I$1))</f>
        <v>0</v>
      </c>
      <c r="J37">
        <f t="shared" ca="1" si="0"/>
        <v>16</v>
      </c>
      <c r="K37">
        <f t="shared" ca="1" si="0"/>
        <v>211</v>
      </c>
      <c r="L37" s="3">
        <f t="shared" ca="1" si="2"/>
        <v>2</v>
      </c>
      <c r="M37" s="13">
        <f t="shared" ca="1" si="3"/>
        <v>0.30364507017616588</v>
      </c>
      <c r="N37">
        <f t="shared" ca="1" si="4"/>
        <v>-0.83000000000000007</v>
      </c>
      <c r="O37">
        <f t="shared" ca="1" si="5"/>
        <v>0</v>
      </c>
      <c r="P37">
        <f t="shared" ca="1" si="6"/>
        <v>1</v>
      </c>
      <c r="Q37">
        <f t="shared" ca="1" si="7"/>
        <v>0</v>
      </c>
      <c r="R37">
        <f t="shared" ca="1" si="8"/>
        <v>0</v>
      </c>
      <c r="S37">
        <f t="shared" ca="1" si="9"/>
        <v>1</v>
      </c>
      <c r="T37" s="17">
        <f t="shared" ca="1" si="10"/>
        <v>1.8052380952380953</v>
      </c>
    </row>
    <row r="38" spans="2:20" x14ac:dyDescent="0.3">
      <c r="B38">
        <f t="shared" ca="1" si="1"/>
        <v>45</v>
      </c>
      <c r="C38" cm="1">
        <f t="array" aca="1" ref="C38" ca="1">INDIRECT(ADDRESS(myRAND(1,C$2,C$8:C$9)+5,C$1))</f>
        <v>0</v>
      </c>
      <c r="D38" cm="1">
        <f t="array" aca="1" ref="D38" ca="1">INDIRECT(ADDRESS(myRAND(1,D$2,D$8:D$9)+5,D$1))</f>
        <v>0</v>
      </c>
      <c r="E38" cm="1">
        <f t="array" aca="1" ref="E38" ca="1">INDIRECT(ADDRESS(myRAND(1,E$2,E$8:E$9)+5,E$1))</f>
        <v>0</v>
      </c>
      <c r="F38" cm="1">
        <f t="array" aca="1" ref="F38" ca="1">INDIRECT(ADDRESS(myRAND(1,F$2,F$8:F$9)+5,F$1))</f>
        <v>1</v>
      </c>
      <c r="G38" cm="1">
        <f t="array" aca="1" ref="G38" ca="1">INDIRECT(ADDRESS(myRAND(1,G$2,G$8:G$9)+5,G$1))</f>
        <v>0</v>
      </c>
      <c r="H38" cm="1">
        <f t="array" aca="1" ref="H38" ca="1">INDIRECT(ADDRESS(myRAND(1,H$2,H$8:H$9)+5,H$1))</f>
        <v>0</v>
      </c>
      <c r="I38" cm="1">
        <f t="array" aca="1" ref="I38" ca="1">INDIRECT(ADDRESS(myRAND(1,I$2,I$8:I$9)+5,I$1))</f>
        <v>1</v>
      </c>
      <c r="J38">
        <f t="shared" ca="1" si="0"/>
        <v>13</v>
      </c>
      <c r="K38">
        <f t="shared" ca="1" si="0"/>
        <v>216</v>
      </c>
      <c r="L38" s="3">
        <f t="shared" ca="1" si="2"/>
        <v>1</v>
      </c>
      <c r="M38" s="13">
        <f t="shared" ca="1" si="3"/>
        <v>7.1094304084287144E-2</v>
      </c>
      <c r="N38">
        <f t="shared" ca="1" si="4"/>
        <v>-2.5700000000000003</v>
      </c>
      <c r="O38">
        <f t="shared" ca="1" si="5"/>
        <v>0</v>
      </c>
      <c r="P38">
        <f t="shared" ca="1" si="6"/>
        <v>0</v>
      </c>
      <c r="Q38">
        <f t="shared" ca="1" si="7"/>
        <v>1</v>
      </c>
      <c r="R38">
        <f t="shared" ca="1" si="8"/>
        <v>0</v>
      </c>
      <c r="S38">
        <f t="shared" ca="1" si="9"/>
        <v>1</v>
      </c>
      <c r="T38" s="17">
        <f t="shared" ca="1" si="10"/>
        <v>4.6690476190476193</v>
      </c>
    </row>
    <row r="39" spans="2:20" x14ac:dyDescent="0.3">
      <c r="B39">
        <f t="shared" ca="1" si="1"/>
        <v>40</v>
      </c>
      <c r="C39" cm="1">
        <f t="array" aca="1" ref="C39" ca="1">INDIRECT(ADDRESS(myRAND(1,C$2,C$8:C$9)+5,C$1))</f>
        <v>0</v>
      </c>
      <c r="D39" cm="1">
        <f t="array" aca="1" ref="D39" ca="1">INDIRECT(ADDRESS(myRAND(1,D$2,D$8:D$9)+5,D$1))</f>
        <v>0</v>
      </c>
      <c r="E39" cm="1">
        <f t="array" aca="1" ref="E39" ca="1">INDIRECT(ADDRESS(myRAND(1,E$2,E$8:E$9)+5,E$1))</f>
        <v>0</v>
      </c>
      <c r="F39" cm="1">
        <f t="array" aca="1" ref="F39" ca="1">INDIRECT(ADDRESS(myRAND(1,F$2,F$8:F$9)+5,F$1))</f>
        <v>1</v>
      </c>
      <c r="G39" cm="1">
        <f t="array" aca="1" ref="G39" ca="1">INDIRECT(ADDRESS(myRAND(1,G$2,G$8:G$9)+5,G$1))</f>
        <v>1</v>
      </c>
      <c r="H39" cm="1">
        <f t="array" aca="1" ref="H39" ca="1">INDIRECT(ADDRESS(myRAND(1,H$2,H$8:H$9)+5,H$1))</f>
        <v>0</v>
      </c>
      <c r="I39" cm="1">
        <f t="array" aca="1" ref="I39" ca="1">INDIRECT(ADDRESS(myRAND(1,I$2,I$8:I$9)+5,I$1))</f>
        <v>1</v>
      </c>
      <c r="J39">
        <f t="shared" ca="1" si="0"/>
        <v>14</v>
      </c>
      <c r="K39">
        <f t="shared" ca="1" si="0"/>
        <v>263</v>
      </c>
      <c r="L39" s="3">
        <f t="shared" ca="1" si="2"/>
        <v>1</v>
      </c>
      <c r="M39" s="13">
        <f t="shared" ca="1" si="3"/>
        <v>5.8967013464791759E-2</v>
      </c>
      <c r="N39">
        <f t="shared" ca="1" si="4"/>
        <v>-2.77</v>
      </c>
      <c r="O39">
        <f t="shared" ca="1" si="5"/>
        <v>0</v>
      </c>
      <c r="P39">
        <f t="shared" ca="1" si="6"/>
        <v>0</v>
      </c>
      <c r="Q39">
        <f t="shared" ca="1" si="7"/>
        <v>1</v>
      </c>
      <c r="R39">
        <f t="shared" ca="1" si="8"/>
        <v>0</v>
      </c>
      <c r="S39">
        <f t="shared" ca="1" si="9"/>
        <v>2</v>
      </c>
      <c r="T39" s="17">
        <f t="shared" ca="1" si="10"/>
        <v>4.9095238095238098</v>
      </c>
    </row>
    <row r="40" spans="2:20" x14ac:dyDescent="0.3">
      <c r="B40">
        <f t="shared" ca="1" si="1"/>
        <v>49</v>
      </c>
      <c r="C40" cm="1">
        <f t="array" aca="1" ref="C40" ca="1">INDIRECT(ADDRESS(myRAND(1,C$2,C$8:C$9)+5,C$1))</f>
        <v>1</v>
      </c>
      <c r="D40" cm="1">
        <f t="array" aca="1" ref="D40" ca="1">INDIRECT(ADDRESS(myRAND(1,D$2,D$8:D$9)+5,D$1))</f>
        <v>0</v>
      </c>
      <c r="E40" cm="1">
        <f t="array" aca="1" ref="E40" ca="1">INDIRECT(ADDRESS(myRAND(1,E$2,E$8:E$9)+5,E$1))</f>
        <v>1</v>
      </c>
      <c r="F40" cm="1">
        <f t="array" aca="1" ref="F40" ca="1">INDIRECT(ADDRESS(myRAND(1,F$2,F$8:F$9)+5,F$1))</f>
        <v>1</v>
      </c>
      <c r="G40" cm="1">
        <f t="array" aca="1" ref="G40" ca="1">INDIRECT(ADDRESS(myRAND(1,G$2,G$8:G$9)+5,G$1))</f>
        <v>1</v>
      </c>
      <c r="H40" cm="1">
        <f t="array" aca="1" ref="H40" ca="1">INDIRECT(ADDRESS(myRAND(1,H$2,H$8:H$9)+5,H$1))</f>
        <v>0</v>
      </c>
      <c r="I40" cm="1">
        <f t="array" aca="1" ref="I40" ca="1">INDIRECT(ADDRESS(myRAND(1,I$2,I$8:I$9)+5,I$1))</f>
        <v>0</v>
      </c>
      <c r="J40">
        <f t="shared" ca="1" si="0"/>
        <v>20</v>
      </c>
      <c r="K40">
        <f t="shared" ca="1" si="0"/>
        <v>169</v>
      </c>
      <c r="L40" s="3">
        <f t="shared" ca="1" si="2"/>
        <v>3</v>
      </c>
      <c r="M40" s="13">
        <f t="shared" ca="1" si="3"/>
        <v>0.69635492982383407</v>
      </c>
      <c r="N40">
        <f t="shared" ca="1" si="4"/>
        <v>0.82999999999999985</v>
      </c>
      <c r="O40">
        <f t="shared" ca="1" si="5"/>
        <v>0</v>
      </c>
      <c r="P40">
        <f t="shared" ca="1" si="6"/>
        <v>1</v>
      </c>
      <c r="Q40">
        <f t="shared" ca="1" si="7"/>
        <v>0</v>
      </c>
      <c r="R40">
        <f t="shared" ca="1" si="8"/>
        <v>0</v>
      </c>
      <c r="S40">
        <f t="shared" ca="1" si="9"/>
        <v>1</v>
      </c>
      <c r="T40" s="17">
        <f t="shared" ca="1" si="10"/>
        <v>2.9519047619047618</v>
      </c>
    </row>
    <row r="41" spans="2:20" x14ac:dyDescent="0.3">
      <c r="B41">
        <f t="shared" ca="1" si="1"/>
        <v>50</v>
      </c>
      <c r="C41" cm="1">
        <f t="array" aca="1" ref="C41" ca="1">INDIRECT(ADDRESS(myRAND(1,C$2,C$8:C$9)+5,C$1))</f>
        <v>1</v>
      </c>
      <c r="D41" cm="1">
        <f t="array" aca="1" ref="D41" ca="1">INDIRECT(ADDRESS(myRAND(1,D$2,D$8:D$9)+5,D$1))</f>
        <v>0</v>
      </c>
      <c r="E41" cm="1">
        <f t="array" aca="1" ref="E41" ca="1">INDIRECT(ADDRESS(myRAND(1,E$2,E$8:E$9)+5,E$1))</f>
        <v>0</v>
      </c>
      <c r="F41" cm="1">
        <f t="array" aca="1" ref="F41" ca="1">INDIRECT(ADDRESS(myRAND(1,F$2,F$8:F$9)+5,F$1))</f>
        <v>0</v>
      </c>
      <c r="G41" cm="1">
        <f t="array" aca="1" ref="G41" ca="1">INDIRECT(ADDRESS(myRAND(1,G$2,G$8:G$9)+5,G$1))</f>
        <v>1</v>
      </c>
      <c r="H41" cm="1">
        <f t="array" aca="1" ref="H41" ca="1">INDIRECT(ADDRESS(myRAND(1,H$2,H$8:H$9)+5,H$1))</f>
        <v>1</v>
      </c>
      <c r="I41" cm="1">
        <f t="array" aca="1" ref="I41" ca="1">INDIRECT(ADDRESS(myRAND(1,I$2,I$8:I$9)+5,I$1))</f>
        <v>1</v>
      </c>
      <c r="J41">
        <f t="shared" ca="1" si="0"/>
        <v>19</v>
      </c>
      <c r="K41">
        <f t="shared" ca="1" si="0"/>
        <v>227</v>
      </c>
      <c r="L41" s="3">
        <f t="shared" ca="1" si="2"/>
        <v>2</v>
      </c>
      <c r="M41" s="13">
        <f t="shared" ca="1" si="3"/>
        <v>0.26308410416657979</v>
      </c>
      <c r="N41">
        <f t="shared" ca="1" si="4"/>
        <v>-1.03</v>
      </c>
      <c r="O41">
        <f t="shared" ca="1" si="5"/>
        <v>0</v>
      </c>
      <c r="P41">
        <f t="shared" ca="1" si="6"/>
        <v>0</v>
      </c>
      <c r="Q41">
        <f t="shared" ca="1" si="7"/>
        <v>0</v>
      </c>
      <c r="R41">
        <f t="shared" ca="1" si="8"/>
        <v>0</v>
      </c>
      <c r="S41">
        <f t="shared" ca="1" si="9"/>
        <v>3</v>
      </c>
      <c r="T41" s="17">
        <f t="shared" ca="1" si="10"/>
        <v>6.1714285714285708</v>
      </c>
    </row>
    <row r="42" spans="2:20" x14ac:dyDescent="0.3">
      <c r="B42">
        <f t="shared" ca="1" si="1"/>
        <v>52</v>
      </c>
      <c r="C42" cm="1">
        <f t="array" aca="1" ref="C42" ca="1">INDIRECT(ADDRESS(myRAND(1,C$2,C$8:C$9)+5,C$1))</f>
        <v>0</v>
      </c>
      <c r="D42" cm="1">
        <f t="array" aca="1" ref="D42" ca="1">INDIRECT(ADDRESS(myRAND(1,D$2,D$8:D$9)+5,D$1))</f>
        <v>1</v>
      </c>
      <c r="E42" cm="1">
        <f t="array" aca="1" ref="E42" ca="1">INDIRECT(ADDRESS(myRAND(1,E$2,E$8:E$9)+5,E$1))</f>
        <v>0</v>
      </c>
      <c r="F42" cm="1">
        <f t="array" aca="1" ref="F42" ca="1">INDIRECT(ADDRESS(myRAND(1,F$2,F$8:F$9)+5,F$1))</f>
        <v>0</v>
      </c>
      <c r="G42" cm="1">
        <f t="array" aca="1" ref="G42" ca="1">INDIRECT(ADDRESS(myRAND(1,G$2,G$8:G$9)+5,G$1))</f>
        <v>0</v>
      </c>
      <c r="H42" cm="1">
        <f t="array" aca="1" ref="H42" ca="1">INDIRECT(ADDRESS(myRAND(1,H$2,H$8:H$9)+5,H$1))</f>
        <v>0</v>
      </c>
      <c r="I42" cm="1">
        <f t="array" aca="1" ref="I42" ca="1">INDIRECT(ADDRESS(myRAND(1,I$2,I$8:I$9)+5,I$1))</f>
        <v>1</v>
      </c>
      <c r="J42">
        <f t="shared" ca="1" si="0"/>
        <v>11</v>
      </c>
      <c r="K42">
        <f t="shared" ca="1" si="0"/>
        <v>229</v>
      </c>
      <c r="L42" s="3">
        <f t="shared" ca="1" si="2"/>
        <v>1</v>
      </c>
      <c r="M42" s="13">
        <f t="shared" ca="1" si="3"/>
        <v>9.195454993100434E-2</v>
      </c>
      <c r="N42">
        <f t="shared" ca="1" si="4"/>
        <v>-2.29</v>
      </c>
      <c r="O42">
        <f t="shared" ca="1" si="5"/>
        <v>0</v>
      </c>
      <c r="P42">
        <f t="shared" ca="1" si="6"/>
        <v>0</v>
      </c>
      <c r="Q42">
        <f t="shared" ca="1" si="7"/>
        <v>1</v>
      </c>
      <c r="R42">
        <f t="shared" ca="1" si="8"/>
        <v>0</v>
      </c>
      <c r="S42">
        <f t="shared" ca="1" si="9"/>
        <v>1</v>
      </c>
      <c r="T42" s="17">
        <f t="shared" ca="1" si="10"/>
        <v>4.6676190476190476</v>
      </c>
    </row>
    <row r="43" spans="2:20" x14ac:dyDescent="0.3">
      <c r="B43">
        <f t="shared" ca="1" si="1"/>
        <v>73</v>
      </c>
      <c r="C43" cm="1">
        <f t="array" aca="1" ref="C43" ca="1">INDIRECT(ADDRESS(myRAND(1,C$2,C$8:C$9)+5,C$1))</f>
        <v>0</v>
      </c>
      <c r="D43" cm="1">
        <f t="array" aca="1" ref="D43" ca="1">INDIRECT(ADDRESS(myRAND(1,D$2,D$8:D$9)+5,D$1))</f>
        <v>1</v>
      </c>
      <c r="E43" cm="1">
        <f t="array" aca="1" ref="E43" ca="1">INDIRECT(ADDRESS(myRAND(1,E$2,E$8:E$9)+5,E$1))</f>
        <v>1</v>
      </c>
      <c r="F43" cm="1">
        <f t="array" aca="1" ref="F43" ca="1">INDIRECT(ADDRESS(myRAND(1,F$2,F$8:F$9)+5,F$1))</f>
        <v>1</v>
      </c>
      <c r="G43" cm="1">
        <f t="array" aca="1" ref="G43" ca="1">INDIRECT(ADDRESS(myRAND(1,G$2,G$8:G$9)+5,G$1))</f>
        <v>0</v>
      </c>
      <c r="H43" cm="1">
        <f t="array" aca="1" ref="H43" ca="1">INDIRECT(ADDRESS(myRAND(1,H$2,H$8:H$9)+5,H$1))</f>
        <v>1</v>
      </c>
      <c r="I43" cm="1">
        <f t="array" aca="1" ref="I43" ca="1">INDIRECT(ADDRESS(myRAND(1,I$2,I$8:I$9)+5,I$1))</f>
        <v>0</v>
      </c>
      <c r="J43">
        <f t="shared" ca="1" si="0"/>
        <v>14</v>
      </c>
      <c r="K43">
        <f t="shared" ca="1" si="0"/>
        <v>239</v>
      </c>
      <c r="L43" s="3">
        <f t="shared" ca="1" si="2"/>
        <v>3</v>
      </c>
      <c r="M43" s="13">
        <f t="shared" ca="1" si="3"/>
        <v>0.30789049569821181</v>
      </c>
      <c r="N43">
        <f t="shared" ca="1" si="4"/>
        <v>-0.81000000000000016</v>
      </c>
      <c r="O43">
        <f t="shared" ca="1" si="5"/>
        <v>1</v>
      </c>
      <c r="P43">
        <f t="shared" ca="1" si="6"/>
        <v>0</v>
      </c>
      <c r="Q43">
        <f t="shared" ca="1" si="7"/>
        <v>0</v>
      </c>
      <c r="R43">
        <f t="shared" ca="1" si="8"/>
        <v>0</v>
      </c>
      <c r="S43">
        <f t="shared" ca="1" si="9"/>
        <v>1</v>
      </c>
      <c r="T43" s="17">
        <f t="shared" ca="1" si="10"/>
        <v>2.1252380952380951</v>
      </c>
    </row>
    <row r="44" spans="2:20" x14ac:dyDescent="0.3">
      <c r="B44">
        <f t="shared" ca="1" si="1"/>
        <v>48</v>
      </c>
      <c r="C44" cm="1">
        <f t="array" aca="1" ref="C44" ca="1">INDIRECT(ADDRESS(myRAND(1,C$2,C$8:C$9)+5,C$1))</f>
        <v>1</v>
      </c>
      <c r="D44" cm="1">
        <f t="array" aca="1" ref="D44" ca="1">INDIRECT(ADDRESS(myRAND(1,D$2,D$8:D$9)+5,D$1))</f>
        <v>0</v>
      </c>
      <c r="E44" cm="1">
        <f t="array" aca="1" ref="E44" ca="1">INDIRECT(ADDRESS(myRAND(1,E$2,E$8:E$9)+5,E$1))</f>
        <v>1</v>
      </c>
      <c r="F44" cm="1">
        <f t="array" aca="1" ref="F44" ca="1">INDIRECT(ADDRESS(myRAND(1,F$2,F$8:F$9)+5,F$1))</f>
        <v>1</v>
      </c>
      <c r="G44" cm="1">
        <f t="array" aca="1" ref="G44" ca="1">INDIRECT(ADDRESS(myRAND(1,G$2,G$8:G$9)+5,G$1))</f>
        <v>1</v>
      </c>
      <c r="H44" cm="1">
        <f t="array" aca="1" ref="H44" ca="1">INDIRECT(ADDRESS(myRAND(1,H$2,H$8:H$9)+5,H$1))</f>
        <v>1</v>
      </c>
      <c r="I44" cm="1">
        <f t="array" aca="1" ref="I44" ca="1">INDIRECT(ADDRESS(myRAND(1,I$2,I$8:I$9)+5,I$1))</f>
        <v>1</v>
      </c>
      <c r="J44">
        <f t="shared" ca="1" si="0"/>
        <v>18</v>
      </c>
      <c r="K44">
        <f t="shared" ca="1" si="0"/>
        <v>200</v>
      </c>
      <c r="L44" s="3">
        <f t="shared" ca="1" si="2"/>
        <v>2</v>
      </c>
      <c r="M44" s="13">
        <f t="shared" ca="1" si="3"/>
        <v>0.68783133058284041</v>
      </c>
      <c r="N44">
        <f t="shared" ca="1" si="4"/>
        <v>0.78999999999999981</v>
      </c>
      <c r="O44">
        <f t="shared" ca="1" si="5"/>
        <v>0</v>
      </c>
      <c r="P44">
        <f t="shared" ca="1" si="6"/>
        <v>1</v>
      </c>
      <c r="Q44">
        <f t="shared" ca="1" si="7"/>
        <v>0</v>
      </c>
      <c r="R44">
        <f t="shared" ca="1" si="8"/>
        <v>0</v>
      </c>
      <c r="S44">
        <f t="shared" ca="1" si="9"/>
        <v>3</v>
      </c>
      <c r="T44" s="17">
        <f t="shared" ca="1" si="10"/>
        <v>5.9561904761904758</v>
      </c>
    </row>
    <row r="45" spans="2:20" x14ac:dyDescent="0.3">
      <c r="B45">
        <f t="shared" ca="1" si="1"/>
        <v>59</v>
      </c>
      <c r="C45" cm="1">
        <f t="array" aca="1" ref="C45" ca="1">INDIRECT(ADDRESS(myRAND(1,C$2,C$8:C$9)+5,C$1))</f>
        <v>1</v>
      </c>
      <c r="D45" cm="1">
        <f t="array" aca="1" ref="D45" ca="1">INDIRECT(ADDRESS(myRAND(1,D$2,D$8:D$9)+5,D$1))</f>
        <v>0</v>
      </c>
      <c r="E45" cm="1">
        <f t="array" aca="1" ref="E45" ca="1">INDIRECT(ADDRESS(myRAND(1,E$2,E$8:E$9)+5,E$1))</f>
        <v>1</v>
      </c>
      <c r="F45" cm="1">
        <f t="array" aca="1" ref="F45" ca="1">INDIRECT(ADDRESS(myRAND(1,F$2,F$8:F$9)+5,F$1))</f>
        <v>1</v>
      </c>
      <c r="G45" cm="1">
        <f t="array" aca="1" ref="G45" ca="1">INDIRECT(ADDRESS(myRAND(1,G$2,G$8:G$9)+5,G$1))</f>
        <v>0</v>
      </c>
      <c r="H45" cm="1">
        <f t="array" aca="1" ref="H45" ca="1">INDIRECT(ADDRESS(myRAND(1,H$2,H$8:H$9)+5,H$1))</f>
        <v>0</v>
      </c>
      <c r="I45" cm="1">
        <f t="array" aca="1" ref="I45" ca="1">INDIRECT(ADDRESS(myRAND(1,I$2,I$8:I$9)+5,I$1))</f>
        <v>1</v>
      </c>
      <c r="J45">
        <f t="shared" ca="1" si="0"/>
        <v>18</v>
      </c>
      <c r="K45">
        <f t="shared" ca="1" si="0"/>
        <v>216</v>
      </c>
      <c r="L45" s="3">
        <f t="shared" ca="1" si="2"/>
        <v>3</v>
      </c>
      <c r="M45" s="13">
        <f t="shared" ca="1" si="3"/>
        <v>0.77381857426945377</v>
      </c>
      <c r="N45">
        <f t="shared" ca="1" si="4"/>
        <v>1.2299999999999998</v>
      </c>
      <c r="O45">
        <f t="shared" ca="1" si="5"/>
        <v>0</v>
      </c>
      <c r="P45">
        <f t="shared" ca="1" si="6"/>
        <v>1</v>
      </c>
      <c r="Q45">
        <f t="shared" ca="1" si="7"/>
        <v>0</v>
      </c>
      <c r="R45">
        <f t="shared" ca="1" si="8"/>
        <v>0</v>
      </c>
      <c r="S45">
        <f t="shared" ca="1" si="9"/>
        <v>1</v>
      </c>
      <c r="T45" s="17">
        <f t="shared" ca="1" si="10"/>
        <v>6.1423809523809521</v>
      </c>
    </row>
    <row r="46" spans="2:20" x14ac:dyDescent="0.3">
      <c r="B46">
        <f t="shared" ca="1" si="1"/>
        <v>72</v>
      </c>
      <c r="C46" cm="1">
        <f t="array" aca="1" ref="C46" ca="1">INDIRECT(ADDRESS(myRAND(1,C$2,C$8:C$9)+5,C$1))</f>
        <v>1</v>
      </c>
      <c r="D46" cm="1">
        <f t="array" aca="1" ref="D46" ca="1">INDIRECT(ADDRESS(myRAND(1,D$2,D$8:D$9)+5,D$1))</f>
        <v>1</v>
      </c>
      <c r="E46" cm="1">
        <f t="array" aca="1" ref="E46" ca="1">INDIRECT(ADDRESS(myRAND(1,E$2,E$8:E$9)+5,E$1))</f>
        <v>1</v>
      </c>
      <c r="F46" cm="1">
        <f t="array" aca="1" ref="F46" ca="1">INDIRECT(ADDRESS(myRAND(1,F$2,F$8:F$9)+5,F$1))</f>
        <v>1</v>
      </c>
      <c r="G46" cm="1">
        <f t="array" aca="1" ref="G46" ca="1">INDIRECT(ADDRESS(myRAND(1,G$2,G$8:G$9)+5,G$1))</f>
        <v>0</v>
      </c>
      <c r="H46" cm="1">
        <f t="array" aca="1" ref="H46" ca="1">INDIRECT(ADDRESS(myRAND(1,H$2,H$8:H$9)+5,H$1))</f>
        <v>0</v>
      </c>
      <c r="I46" cm="1">
        <f t="array" aca="1" ref="I46" ca="1">INDIRECT(ADDRESS(myRAND(1,I$2,I$8:I$9)+5,I$1))</f>
        <v>1</v>
      </c>
      <c r="J46">
        <f t="shared" ca="1" si="0"/>
        <v>17</v>
      </c>
      <c r="K46">
        <f t="shared" ca="1" si="0"/>
        <v>216</v>
      </c>
      <c r="L46" s="3">
        <f t="shared" ca="1" si="2"/>
        <v>3</v>
      </c>
      <c r="M46" s="13">
        <f t="shared" ca="1" si="3"/>
        <v>0.62010643234309015</v>
      </c>
      <c r="N46">
        <f t="shared" ca="1" si="4"/>
        <v>0.48999999999999988</v>
      </c>
      <c r="O46">
        <f t="shared" ca="1" si="5"/>
        <v>1</v>
      </c>
      <c r="P46">
        <f t="shared" ca="1" si="6"/>
        <v>0</v>
      </c>
      <c r="Q46">
        <f t="shared" ca="1" si="7"/>
        <v>0</v>
      </c>
      <c r="R46">
        <f t="shared" ca="1" si="8"/>
        <v>0</v>
      </c>
      <c r="S46">
        <f t="shared" ca="1" si="9"/>
        <v>1</v>
      </c>
      <c r="T46" s="17">
        <f t="shared" ca="1" si="10"/>
        <v>6.2057142857142864</v>
      </c>
    </row>
    <row r="47" spans="2:20" x14ac:dyDescent="0.3">
      <c r="B47">
        <f t="shared" ca="1" si="1"/>
        <v>51</v>
      </c>
      <c r="C47" cm="1">
        <f t="array" aca="1" ref="C47" ca="1">INDIRECT(ADDRESS(myRAND(1,C$2,C$8:C$9)+5,C$1))</f>
        <v>1</v>
      </c>
      <c r="D47" cm="1">
        <f t="array" aca="1" ref="D47" ca="1">INDIRECT(ADDRESS(myRAND(1,D$2,D$8:D$9)+5,D$1))</f>
        <v>0</v>
      </c>
      <c r="E47" cm="1">
        <f t="array" aca="1" ref="E47" ca="1">INDIRECT(ADDRESS(myRAND(1,E$2,E$8:E$9)+5,E$1))</f>
        <v>1</v>
      </c>
      <c r="F47" cm="1">
        <f t="array" aca="1" ref="F47" ca="1">INDIRECT(ADDRESS(myRAND(1,F$2,F$8:F$9)+5,F$1))</f>
        <v>1</v>
      </c>
      <c r="G47" cm="1">
        <f t="array" aca="1" ref="G47" ca="1">INDIRECT(ADDRESS(myRAND(1,G$2,G$8:G$9)+5,G$1))</f>
        <v>0</v>
      </c>
      <c r="H47" cm="1">
        <f t="array" aca="1" ref="H47" ca="1">INDIRECT(ADDRESS(myRAND(1,H$2,H$8:H$9)+5,H$1))</f>
        <v>1</v>
      </c>
      <c r="I47" cm="1">
        <f t="array" aca="1" ref="I47" ca="1">INDIRECT(ADDRESS(myRAND(1,I$2,I$8:I$9)+5,I$1))</f>
        <v>0</v>
      </c>
      <c r="J47">
        <f t="shared" ca="1" si="0"/>
        <v>15</v>
      </c>
      <c r="K47">
        <f t="shared" ca="1" si="0"/>
        <v>188</v>
      </c>
      <c r="L47" s="3">
        <f t="shared" ca="1" si="2"/>
        <v>3</v>
      </c>
      <c r="M47" s="13">
        <f t="shared" ca="1" si="3"/>
        <v>0.71300016275228162</v>
      </c>
      <c r="N47">
        <f t="shared" ca="1" si="4"/>
        <v>0.90999999999999992</v>
      </c>
      <c r="O47">
        <f t="shared" ca="1" si="5"/>
        <v>0</v>
      </c>
      <c r="P47">
        <f t="shared" ca="1" si="6"/>
        <v>1</v>
      </c>
      <c r="Q47">
        <f t="shared" ca="1" si="7"/>
        <v>0</v>
      </c>
      <c r="R47">
        <f t="shared" ca="1" si="8"/>
        <v>0</v>
      </c>
      <c r="S47">
        <f t="shared" ca="1" si="9"/>
        <v>1</v>
      </c>
      <c r="T47" s="17">
        <f t="shared" ca="1" si="10"/>
        <v>2.7290476190476189</v>
      </c>
    </row>
    <row r="48" spans="2:20" x14ac:dyDescent="0.3">
      <c r="B48">
        <f t="shared" ca="1" si="1"/>
        <v>34</v>
      </c>
      <c r="C48" cm="1">
        <f t="array" aca="1" ref="C48" ca="1">INDIRECT(ADDRESS(myRAND(1,C$2,C$8:C$9)+5,C$1))</f>
        <v>0</v>
      </c>
      <c r="D48" cm="1">
        <f t="array" aca="1" ref="D48" ca="1">INDIRECT(ADDRESS(myRAND(1,D$2,D$8:D$9)+5,D$1))</f>
        <v>0</v>
      </c>
      <c r="E48" cm="1">
        <f t="array" aca="1" ref="E48" ca="1">INDIRECT(ADDRESS(myRAND(1,E$2,E$8:E$9)+5,E$1))</f>
        <v>0</v>
      </c>
      <c r="F48" cm="1">
        <f t="array" aca="1" ref="F48" ca="1">INDIRECT(ADDRESS(myRAND(1,F$2,F$8:F$9)+5,F$1))</f>
        <v>1</v>
      </c>
      <c r="G48" cm="1">
        <f t="array" aca="1" ref="G48" ca="1">INDIRECT(ADDRESS(myRAND(1,G$2,G$8:G$9)+5,G$1))</f>
        <v>0</v>
      </c>
      <c r="H48" cm="1">
        <f t="array" aca="1" ref="H48" ca="1">INDIRECT(ADDRESS(myRAND(1,H$2,H$8:H$9)+5,H$1))</f>
        <v>0</v>
      </c>
      <c r="I48" cm="1">
        <f t="array" aca="1" ref="I48" ca="1">INDIRECT(ADDRESS(myRAND(1,I$2,I$8:I$9)+5,I$1))</f>
        <v>1</v>
      </c>
      <c r="J48">
        <f t="shared" ca="1" si="0"/>
        <v>22</v>
      </c>
      <c r="K48">
        <f t="shared" ca="1" si="0"/>
        <v>204</v>
      </c>
      <c r="L48" s="3">
        <f t="shared" ca="1" si="2"/>
        <v>1</v>
      </c>
      <c r="M48" s="13">
        <f t="shared" ca="1" si="3"/>
        <v>4.6976145678283544E-2</v>
      </c>
      <c r="N48">
        <f t="shared" ca="1" si="4"/>
        <v>-3.01</v>
      </c>
      <c r="O48">
        <f t="shared" ca="1" si="5"/>
        <v>0</v>
      </c>
      <c r="P48">
        <f t="shared" ca="1" si="6"/>
        <v>0</v>
      </c>
      <c r="Q48">
        <f t="shared" ca="1" si="7"/>
        <v>1</v>
      </c>
      <c r="R48">
        <f t="shared" ca="1" si="8"/>
        <v>0</v>
      </c>
      <c r="S48">
        <f t="shared" ca="1" si="9"/>
        <v>1</v>
      </c>
      <c r="T48" s="17">
        <f t="shared" ca="1" si="10"/>
        <v>5.1019047619047617</v>
      </c>
    </row>
    <row r="49" spans="2:20" x14ac:dyDescent="0.3">
      <c r="B49">
        <f t="shared" ca="1" si="1"/>
        <v>51</v>
      </c>
      <c r="C49" cm="1">
        <f t="array" aca="1" ref="C49" ca="1">INDIRECT(ADDRESS(myRAND(1,C$2,C$8:C$9)+5,C$1))</f>
        <v>1</v>
      </c>
      <c r="D49" cm="1">
        <f t="array" aca="1" ref="D49" ca="1">INDIRECT(ADDRESS(myRAND(1,D$2,D$8:D$9)+5,D$1))</f>
        <v>0</v>
      </c>
      <c r="E49" cm="1">
        <f t="array" aca="1" ref="E49" ca="1">INDIRECT(ADDRESS(myRAND(1,E$2,E$8:E$9)+5,E$1))</f>
        <v>0</v>
      </c>
      <c r="F49" cm="1">
        <f t="array" aca="1" ref="F49" ca="1">INDIRECT(ADDRESS(myRAND(1,F$2,F$8:F$9)+5,F$1))</f>
        <v>1</v>
      </c>
      <c r="G49" cm="1">
        <f t="array" aca="1" ref="G49" ca="1">INDIRECT(ADDRESS(myRAND(1,G$2,G$8:G$9)+5,G$1))</f>
        <v>1</v>
      </c>
      <c r="H49" cm="1">
        <f t="array" aca="1" ref="H49" ca="1">INDIRECT(ADDRESS(myRAND(1,H$2,H$8:H$9)+5,H$1))</f>
        <v>0</v>
      </c>
      <c r="I49" cm="1">
        <f t="array" aca="1" ref="I49" ca="1">INDIRECT(ADDRESS(myRAND(1,I$2,I$8:I$9)+5,I$1))</f>
        <v>1</v>
      </c>
      <c r="J49">
        <f t="shared" ca="1" si="0"/>
        <v>16</v>
      </c>
      <c r="K49">
        <f t="shared" ca="1" si="0"/>
        <v>222</v>
      </c>
      <c r="L49" s="3">
        <f t="shared" ca="1" si="2"/>
        <v>2</v>
      </c>
      <c r="M49" s="13">
        <f t="shared" ca="1" si="3"/>
        <v>0.27091207765069353</v>
      </c>
      <c r="N49">
        <f t="shared" ca="1" si="4"/>
        <v>-0.99</v>
      </c>
      <c r="O49">
        <f t="shared" ca="1" si="5"/>
        <v>0</v>
      </c>
      <c r="P49">
        <f t="shared" ca="1" si="6"/>
        <v>0</v>
      </c>
      <c r="Q49">
        <f t="shared" ca="1" si="7"/>
        <v>1</v>
      </c>
      <c r="R49">
        <f t="shared" ca="1" si="8"/>
        <v>0</v>
      </c>
      <c r="S49">
        <f t="shared" ca="1" si="9"/>
        <v>2</v>
      </c>
      <c r="T49" s="17">
        <f t="shared" ca="1" si="10"/>
        <v>5.9576190476190476</v>
      </c>
    </row>
    <row r="50" spans="2:20" x14ac:dyDescent="0.3">
      <c r="B50">
        <f t="shared" ca="1" si="1"/>
        <v>54</v>
      </c>
      <c r="C50" cm="1">
        <f t="array" aca="1" ref="C50" ca="1">INDIRECT(ADDRESS(myRAND(1,C$2,C$8:C$9)+5,C$1))</f>
        <v>0</v>
      </c>
      <c r="D50" cm="1">
        <f t="array" aca="1" ref="D50" ca="1">INDIRECT(ADDRESS(myRAND(1,D$2,D$8:D$9)+5,D$1))</f>
        <v>0</v>
      </c>
      <c r="E50" cm="1">
        <f t="array" aca="1" ref="E50" ca="1">INDIRECT(ADDRESS(myRAND(1,E$2,E$8:E$9)+5,E$1))</f>
        <v>1</v>
      </c>
      <c r="F50" cm="1">
        <f t="array" aca="1" ref="F50" ca="1">INDIRECT(ADDRESS(myRAND(1,F$2,F$8:F$9)+5,F$1))</f>
        <v>0</v>
      </c>
      <c r="G50" cm="1">
        <f t="array" aca="1" ref="G50" ca="1">INDIRECT(ADDRESS(myRAND(1,G$2,G$8:G$9)+5,G$1))</f>
        <v>0</v>
      </c>
      <c r="H50" cm="1">
        <f t="array" aca="1" ref="H50" ca="1">INDIRECT(ADDRESS(myRAND(1,H$2,H$8:H$9)+5,H$1))</f>
        <v>0</v>
      </c>
      <c r="I50" cm="1">
        <f t="array" aca="1" ref="I50" ca="1">INDIRECT(ADDRESS(myRAND(1,I$2,I$8:I$9)+5,I$1))</f>
        <v>1</v>
      </c>
      <c r="J50">
        <f t="shared" ca="1" si="0"/>
        <v>14</v>
      </c>
      <c r="K50">
        <f t="shared" ca="1" si="0"/>
        <v>216</v>
      </c>
      <c r="L50" s="3">
        <f t="shared" ca="1" si="2"/>
        <v>1</v>
      </c>
      <c r="M50" s="13">
        <f t="shared" ca="1" si="3"/>
        <v>9.8856073178169385E-2</v>
      </c>
      <c r="N50">
        <f t="shared" ca="1" si="4"/>
        <v>-2.21</v>
      </c>
      <c r="O50">
        <f t="shared" ca="1" si="5"/>
        <v>0</v>
      </c>
      <c r="P50">
        <f t="shared" ca="1" si="6"/>
        <v>0</v>
      </c>
      <c r="Q50">
        <f t="shared" ca="1" si="7"/>
        <v>1</v>
      </c>
      <c r="R50">
        <f t="shared" ca="1" si="8"/>
        <v>0</v>
      </c>
      <c r="S50">
        <f t="shared" ca="1" si="9"/>
        <v>1</v>
      </c>
      <c r="T50" s="17">
        <f t="shared" ca="1" si="10"/>
        <v>4.8257142857142856</v>
      </c>
    </row>
    <row r="51" spans="2:20" x14ac:dyDescent="0.3">
      <c r="B51">
        <f t="shared" ca="1" si="1"/>
        <v>58</v>
      </c>
      <c r="C51" cm="1">
        <f t="array" aca="1" ref="C51" ca="1">INDIRECT(ADDRESS(myRAND(1,C$2,C$8:C$9)+5,C$1))</f>
        <v>1</v>
      </c>
      <c r="D51" cm="1">
        <f t="array" aca="1" ref="D51" ca="1">INDIRECT(ADDRESS(myRAND(1,D$2,D$8:D$9)+5,D$1))</f>
        <v>0</v>
      </c>
      <c r="E51" cm="1">
        <f t="array" aca="1" ref="E51" ca="1">INDIRECT(ADDRESS(myRAND(1,E$2,E$8:E$9)+5,E$1))</f>
        <v>1</v>
      </c>
      <c r="F51" cm="1">
        <f t="array" aca="1" ref="F51" ca="1">INDIRECT(ADDRESS(myRAND(1,F$2,F$8:F$9)+5,F$1))</f>
        <v>0</v>
      </c>
      <c r="G51" cm="1">
        <f t="array" aca="1" ref="G51" ca="1">INDIRECT(ADDRESS(myRAND(1,G$2,G$8:G$9)+5,G$1))</f>
        <v>1</v>
      </c>
      <c r="H51" cm="1">
        <f t="array" aca="1" ref="H51" ca="1">INDIRECT(ADDRESS(myRAND(1,H$2,H$8:H$9)+5,H$1))</f>
        <v>1</v>
      </c>
      <c r="I51" cm="1">
        <f t="array" aca="1" ref="I51" ca="1">INDIRECT(ADDRESS(myRAND(1,I$2,I$8:I$9)+5,I$1))</f>
        <v>1</v>
      </c>
      <c r="J51">
        <f t="shared" ca="1" si="0"/>
        <v>20</v>
      </c>
      <c r="K51">
        <f t="shared" ca="1" si="0"/>
        <v>218</v>
      </c>
      <c r="L51" s="3">
        <f t="shared" ca="1" si="2"/>
        <v>2</v>
      </c>
      <c r="M51" s="13">
        <f t="shared" ca="1" si="3"/>
        <v>0.32959884019113139</v>
      </c>
      <c r="N51">
        <f t="shared" ca="1" si="4"/>
        <v>-0.71000000000000019</v>
      </c>
      <c r="O51">
        <f t="shared" ca="1" si="5"/>
        <v>0</v>
      </c>
      <c r="P51">
        <f t="shared" ca="1" si="6"/>
        <v>0</v>
      </c>
      <c r="Q51">
        <f t="shared" ca="1" si="7"/>
        <v>1</v>
      </c>
      <c r="R51">
        <f t="shared" ca="1" si="8"/>
        <v>0</v>
      </c>
      <c r="S51">
        <f t="shared" ca="1" si="9"/>
        <v>3</v>
      </c>
      <c r="T51" s="17">
        <f t="shared" ca="1" si="10"/>
        <v>6.2752380952380946</v>
      </c>
    </row>
    <row r="52" spans="2:20" x14ac:dyDescent="0.3">
      <c r="B52">
        <f t="shared" ca="1" si="1"/>
        <v>51</v>
      </c>
      <c r="C52" cm="1">
        <f t="array" aca="1" ref="C52" ca="1">INDIRECT(ADDRESS(myRAND(1,C$2,C$8:C$9)+5,C$1))</f>
        <v>0</v>
      </c>
      <c r="D52" cm="1">
        <f t="array" aca="1" ref="D52" ca="1">INDIRECT(ADDRESS(myRAND(1,D$2,D$8:D$9)+5,D$1))</f>
        <v>1</v>
      </c>
      <c r="E52" cm="1">
        <f t="array" aca="1" ref="E52" ca="1">INDIRECT(ADDRESS(myRAND(1,E$2,E$8:E$9)+5,E$1))</f>
        <v>0</v>
      </c>
      <c r="F52" cm="1">
        <f t="array" aca="1" ref="F52" ca="1">INDIRECT(ADDRESS(myRAND(1,F$2,F$8:F$9)+5,F$1))</f>
        <v>1</v>
      </c>
      <c r="G52" cm="1">
        <f t="array" aca="1" ref="G52" ca="1">INDIRECT(ADDRESS(myRAND(1,G$2,G$8:G$9)+5,G$1))</f>
        <v>1</v>
      </c>
      <c r="H52" cm="1">
        <f t="array" aca="1" ref="H52" ca="1">INDIRECT(ADDRESS(myRAND(1,H$2,H$8:H$9)+5,H$1))</f>
        <v>1</v>
      </c>
      <c r="I52" cm="1">
        <f t="array" aca="1" ref="I52" ca="1">INDIRECT(ADDRESS(myRAND(1,I$2,I$8:I$9)+5,I$1))</f>
        <v>1</v>
      </c>
      <c r="J52">
        <f t="shared" ca="1" si="0"/>
        <v>16</v>
      </c>
      <c r="K52">
        <f t="shared" ca="1" si="0"/>
        <v>215</v>
      </c>
      <c r="L52" s="3">
        <f t="shared" ca="1" si="2"/>
        <v>3</v>
      </c>
      <c r="M52" s="13">
        <f t="shared" ca="1" si="3"/>
        <v>0.3941263315682394</v>
      </c>
      <c r="N52">
        <f t="shared" ca="1" si="4"/>
        <v>-0.43000000000000016</v>
      </c>
      <c r="O52">
        <f t="shared" ca="1" si="5"/>
        <v>0</v>
      </c>
      <c r="P52">
        <f t="shared" ca="1" si="6"/>
        <v>1</v>
      </c>
      <c r="Q52">
        <f t="shared" ca="1" si="7"/>
        <v>0</v>
      </c>
      <c r="R52">
        <f t="shared" ca="1" si="8"/>
        <v>0</v>
      </c>
      <c r="S52">
        <f t="shared" ca="1" si="9"/>
        <v>3</v>
      </c>
      <c r="T52" s="17">
        <f t="shared" ca="1" si="10"/>
        <v>4.9242857142857144</v>
      </c>
    </row>
    <row r="53" spans="2:20" x14ac:dyDescent="0.3">
      <c r="B53">
        <f t="shared" ca="1" si="1"/>
        <v>61</v>
      </c>
      <c r="C53" cm="1">
        <f t="array" aca="1" ref="C53" ca="1">INDIRECT(ADDRESS(myRAND(1,C$2,C$8:C$9)+5,C$1))</f>
        <v>0</v>
      </c>
      <c r="D53" cm="1">
        <f t="array" aca="1" ref="D53" ca="1">INDIRECT(ADDRESS(myRAND(1,D$2,D$8:D$9)+5,D$1))</f>
        <v>1</v>
      </c>
      <c r="E53" cm="1">
        <f t="array" aca="1" ref="E53" ca="1">INDIRECT(ADDRESS(myRAND(1,E$2,E$8:E$9)+5,E$1))</f>
        <v>0</v>
      </c>
      <c r="F53" cm="1">
        <f t="array" aca="1" ref="F53" ca="1">INDIRECT(ADDRESS(myRAND(1,F$2,F$8:F$9)+5,F$1))</f>
        <v>1</v>
      </c>
      <c r="G53" cm="1">
        <f t="array" aca="1" ref="G53" ca="1">INDIRECT(ADDRESS(myRAND(1,G$2,G$8:G$9)+5,G$1))</f>
        <v>0</v>
      </c>
      <c r="H53" cm="1">
        <f t="array" aca="1" ref="H53" ca="1">INDIRECT(ADDRESS(myRAND(1,H$2,H$8:H$9)+5,H$1))</f>
        <v>1</v>
      </c>
      <c r="I53" cm="1">
        <f t="array" aca="1" ref="I53" ca="1">INDIRECT(ADDRESS(myRAND(1,I$2,I$8:I$9)+5,I$1))</f>
        <v>0</v>
      </c>
      <c r="J53">
        <f t="shared" ca="1" si="0"/>
        <v>14</v>
      </c>
      <c r="K53">
        <f t="shared" ca="1" si="0"/>
        <v>214</v>
      </c>
      <c r="L53" s="3">
        <f t="shared" ca="1" si="2"/>
        <v>3</v>
      </c>
      <c r="M53" s="13">
        <f t="shared" ca="1" si="3"/>
        <v>0.49250056244937951</v>
      </c>
      <c r="N53">
        <f t="shared" ca="1" si="4"/>
        <v>-3.0000000000000249E-2</v>
      </c>
      <c r="O53">
        <f t="shared" ca="1" si="5"/>
        <v>0</v>
      </c>
      <c r="P53">
        <f t="shared" ca="1" si="6"/>
        <v>1</v>
      </c>
      <c r="Q53">
        <f t="shared" ca="1" si="7"/>
        <v>0</v>
      </c>
      <c r="R53">
        <f t="shared" ca="1" si="8"/>
        <v>0</v>
      </c>
      <c r="S53">
        <f t="shared" ca="1" si="9"/>
        <v>1</v>
      </c>
      <c r="T53" s="17">
        <f t="shared" ca="1" si="10"/>
        <v>1.8861904761904762</v>
      </c>
    </row>
    <row r="54" spans="2:20" x14ac:dyDescent="0.3">
      <c r="B54">
        <f t="shared" ca="1" si="1"/>
        <v>44</v>
      </c>
      <c r="C54" cm="1">
        <f t="array" aca="1" ref="C54" ca="1">INDIRECT(ADDRESS(myRAND(1,C$2,C$8:C$9)+5,C$1))</f>
        <v>1</v>
      </c>
      <c r="D54" cm="1">
        <f t="array" aca="1" ref="D54" ca="1">INDIRECT(ADDRESS(myRAND(1,D$2,D$8:D$9)+5,D$1))</f>
        <v>1</v>
      </c>
      <c r="E54" cm="1">
        <f t="array" aca="1" ref="E54" ca="1">INDIRECT(ADDRESS(myRAND(1,E$2,E$8:E$9)+5,E$1))</f>
        <v>0</v>
      </c>
      <c r="F54" cm="1">
        <f t="array" aca="1" ref="F54" ca="1">INDIRECT(ADDRESS(myRAND(1,F$2,F$8:F$9)+5,F$1))</f>
        <v>1</v>
      </c>
      <c r="G54" cm="1">
        <f t="array" aca="1" ref="G54" ca="1">INDIRECT(ADDRESS(myRAND(1,G$2,G$8:G$9)+5,G$1))</f>
        <v>0</v>
      </c>
      <c r="H54" cm="1">
        <f t="array" aca="1" ref="H54" ca="1">INDIRECT(ADDRESS(myRAND(1,H$2,H$8:H$9)+5,H$1))</f>
        <v>1</v>
      </c>
      <c r="I54" cm="1">
        <f t="array" aca="1" ref="I54" ca="1">INDIRECT(ADDRESS(myRAND(1,I$2,I$8:I$9)+5,I$1))</f>
        <v>0</v>
      </c>
      <c r="J54">
        <f t="shared" ca="1" si="0"/>
        <v>25</v>
      </c>
      <c r="K54">
        <f t="shared" ca="1" si="0"/>
        <v>180</v>
      </c>
      <c r="L54" s="3">
        <f t="shared" ca="1" si="2"/>
        <v>3</v>
      </c>
      <c r="M54" s="13">
        <f t="shared" ca="1" si="3"/>
        <v>0.6524894621927444</v>
      </c>
      <c r="N54">
        <f t="shared" ca="1" si="4"/>
        <v>0.62999999999999967</v>
      </c>
      <c r="O54">
        <f t="shared" ca="1" si="5"/>
        <v>0</v>
      </c>
      <c r="P54">
        <f t="shared" ca="1" si="6"/>
        <v>1</v>
      </c>
      <c r="Q54">
        <f t="shared" ca="1" si="7"/>
        <v>0</v>
      </c>
      <c r="R54">
        <f t="shared" ca="1" si="8"/>
        <v>0</v>
      </c>
      <c r="S54">
        <f t="shared" ca="1" si="9"/>
        <v>1</v>
      </c>
      <c r="T54" s="17">
        <f t="shared" ca="1" si="10"/>
        <v>3.2876190476190477</v>
      </c>
    </row>
    <row r="55" spans="2:20" x14ac:dyDescent="0.3">
      <c r="B55">
        <f t="shared" ca="1" si="1"/>
        <v>50</v>
      </c>
      <c r="C55" cm="1">
        <f t="array" aca="1" ref="C55" ca="1">INDIRECT(ADDRESS(myRAND(1,C$2,C$8:C$9)+5,C$1))</f>
        <v>1</v>
      </c>
      <c r="D55" cm="1">
        <f t="array" aca="1" ref="D55" ca="1">INDIRECT(ADDRESS(myRAND(1,D$2,D$8:D$9)+5,D$1))</f>
        <v>0</v>
      </c>
      <c r="E55" cm="1">
        <f t="array" aca="1" ref="E55" ca="1">INDIRECT(ADDRESS(myRAND(1,E$2,E$8:E$9)+5,E$1))</f>
        <v>1</v>
      </c>
      <c r="F55" cm="1">
        <f t="array" aca="1" ref="F55" ca="1">INDIRECT(ADDRESS(myRAND(1,F$2,F$8:F$9)+5,F$1))</f>
        <v>0</v>
      </c>
      <c r="G55" cm="1">
        <f t="array" aca="1" ref="G55" ca="1">INDIRECT(ADDRESS(myRAND(1,G$2,G$8:G$9)+5,G$1))</f>
        <v>0</v>
      </c>
      <c r="H55" cm="1">
        <f t="array" aca="1" ref="H55" ca="1">INDIRECT(ADDRESS(myRAND(1,H$2,H$8:H$9)+5,H$1))</f>
        <v>0</v>
      </c>
      <c r="I55" cm="1">
        <f t="array" aca="1" ref="I55" ca="1">INDIRECT(ADDRESS(myRAND(1,I$2,I$8:I$9)+5,I$1))</f>
        <v>0</v>
      </c>
      <c r="J55">
        <f t="shared" ca="1" si="0"/>
        <v>13</v>
      </c>
      <c r="K55">
        <f t="shared" ca="1" si="0"/>
        <v>263</v>
      </c>
      <c r="L55" s="3">
        <f t="shared" ca="1" si="2"/>
        <v>2</v>
      </c>
      <c r="M55" s="13">
        <f t="shared" ca="1" si="3"/>
        <v>0.26308410416657979</v>
      </c>
      <c r="N55">
        <f t="shared" ca="1" si="4"/>
        <v>-1.03</v>
      </c>
      <c r="O55">
        <f t="shared" ca="1" si="5"/>
        <v>0</v>
      </c>
      <c r="P55">
        <f t="shared" ca="1" si="6"/>
        <v>0</v>
      </c>
      <c r="Q55">
        <f t="shared" ca="1" si="7"/>
        <v>1</v>
      </c>
      <c r="R55">
        <f t="shared" ca="1" si="8"/>
        <v>0</v>
      </c>
      <c r="S55">
        <f t="shared" ca="1" si="9"/>
        <v>0</v>
      </c>
      <c r="T55" s="17">
        <f t="shared" ca="1" si="10"/>
        <v>2.9428571428571431</v>
      </c>
    </row>
    <row r="56" spans="2:20" x14ac:dyDescent="0.3">
      <c r="B56">
        <f t="shared" ca="1" si="1"/>
        <v>56</v>
      </c>
      <c r="C56" cm="1">
        <f t="array" aca="1" ref="C56" ca="1">INDIRECT(ADDRESS(myRAND(1,C$2,C$8:C$9)+5,C$1))</f>
        <v>0</v>
      </c>
      <c r="D56" cm="1">
        <f t="array" aca="1" ref="D56" ca="1">INDIRECT(ADDRESS(myRAND(1,D$2,D$8:D$9)+5,D$1))</f>
        <v>1</v>
      </c>
      <c r="E56" cm="1">
        <f t="array" aca="1" ref="E56" ca="1">INDIRECT(ADDRESS(myRAND(1,E$2,E$8:E$9)+5,E$1))</f>
        <v>0</v>
      </c>
      <c r="F56" cm="1">
        <f t="array" aca="1" ref="F56" ca="1">INDIRECT(ADDRESS(myRAND(1,F$2,F$8:F$9)+5,F$1))</f>
        <v>1</v>
      </c>
      <c r="G56" cm="1">
        <f t="array" aca="1" ref="G56" ca="1">INDIRECT(ADDRESS(myRAND(1,G$2,G$8:G$9)+5,G$1))</f>
        <v>1</v>
      </c>
      <c r="H56" cm="1">
        <f t="array" aca="1" ref="H56" ca="1">INDIRECT(ADDRESS(myRAND(1,H$2,H$8:H$9)+5,H$1))</f>
        <v>0</v>
      </c>
      <c r="I56" cm="1">
        <f t="array" aca="1" ref="I56" ca="1">INDIRECT(ADDRESS(myRAND(1,I$2,I$8:I$9)+5,I$1))</f>
        <v>0</v>
      </c>
      <c r="J56">
        <f t="shared" ca="1" si="0"/>
        <v>13</v>
      </c>
      <c r="K56">
        <f t="shared" ca="1" si="0"/>
        <v>182</v>
      </c>
      <c r="L56" s="3">
        <f t="shared" ca="1" si="2"/>
        <v>3</v>
      </c>
      <c r="M56" s="13">
        <f t="shared" ca="1" si="3"/>
        <v>0.44275214540144436</v>
      </c>
      <c r="N56">
        <f t="shared" ca="1" si="4"/>
        <v>-0.22999999999999998</v>
      </c>
      <c r="O56">
        <f t="shared" ca="1" si="5"/>
        <v>0</v>
      </c>
      <c r="P56">
        <f t="shared" ca="1" si="6"/>
        <v>1</v>
      </c>
      <c r="Q56">
        <f t="shared" ca="1" si="7"/>
        <v>0</v>
      </c>
      <c r="R56">
        <f t="shared" ca="1" si="8"/>
        <v>0</v>
      </c>
      <c r="S56">
        <f t="shared" ca="1" si="9"/>
        <v>1</v>
      </c>
      <c r="T56" s="17">
        <f t="shared" ca="1" si="10"/>
        <v>1.6171428571428572</v>
      </c>
    </row>
    <row r="57" spans="2:20" x14ac:dyDescent="0.3">
      <c r="B57">
        <f t="shared" ca="1" si="1"/>
        <v>50</v>
      </c>
      <c r="C57" cm="1">
        <f t="array" aca="1" ref="C57" ca="1">INDIRECT(ADDRESS(myRAND(1,C$2,C$8:C$9)+5,C$1))</f>
        <v>0</v>
      </c>
      <c r="D57" cm="1">
        <f t="array" aca="1" ref="D57" ca="1">INDIRECT(ADDRESS(myRAND(1,D$2,D$8:D$9)+5,D$1))</f>
        <v>1</v>
      </c>
      <c r="E57" cm="1">
        <f t="array" aca="1" ref="E57" ca="1">INDIRECT(ADDRESS(myRAND(1,E$2,E$8:E$9)+5,E$1))</f>
        <v>1</v>
      </c>
      <c r="F57" cm="1">
        <f t="array" aca="1" ref="F57" ca="1">INDIRECT(ADDRESS(myRAND(1,F$2,F$8:F$9)+5,F$1))</f>
        <v>1</v>
      </c>
      <c r="G57" cm="1">
        <f t="array" aca="1" ref="G57" ca="1">INDIRECT(ADDRESS(myRAND(1,G$2,G$8:G$9)+5,G$1))</f>
        <v>0</v>
      </c>
      <c r="H57" cm="1">
        <f t="array" aca="1" ref="H57" ca="1">INDIRECT(ADDRESS(myRAND(1,H$2,H$8:H$9)+5,H$1))</f>
        <v>0</v>
      </c>
      <c r="I57" cm="1">
        <f t="array" aca="1" ref="I57" ca="1">INDIRECT(ADDRESS(myRAND(1,I$2,I$8:I$9)+5,I$1))</f>
        <v>1</v>
      </c>
      <c r="J57">
        <f t="shared" ca="1" si="0"/>
        <v>8</v>
      </c>
      <c r="K57">
        <f t="shared" ca="1" si="0"/>
        <v>224</v>
      </c>
      <c r="L57" s="3">
        <f t="shared" ca="1" si="2"/>
        <v>2</v>
      </c>
      <c r="M57" s="13">
        <f t="shared" ca="1" si="3"/>
        <v>0.15058757974584394</v>
      </c>
      <c r="N57">
        <f t="shared" ca="1" si="4"/>
        <v>-1.73</v>
      </c>
      <c r="O57">
        <f t="shared" ca="1" si="5"/>
        <v>1</v>
      </c>
      <c r="P57">
        <f t="shared" ca="1" si="6"/>
        <v>0</v>
      </c>
      <c r="Q57">
        <f t="shared" ca="1" si="7"/>
        <v>0</v>
      </c>
      <c r="R57">
        <f t="shared" ca="1" si="8"/>
        <v>0</v>
      </c>
      <c r="S57">
        <f t="shared" ca="1" si="9"/>
        <v>1</v>
      </c>
      <c r="T57" s="17">
        <f t="shared" ca="1" si="10"/>
        <v>4.4238095238095241</v>
      </c>
    </row>
    <row r="58" spans="2:20" x14ac:dyDescent="0.3">
      <c r="B58">
        <f t="shared" ca="1" si="1"/>
        <v>54</v>
      </c>
      <c r="C58" cm="1">
        <f t="array" aca="1" ref="C58" ca="1">INDIRECT(ADDRESS(myRAND(1,C$2,C$8:C$9)+5,C$1))</f>
        <v>0</v>
      </c>
      <c r="D58" cm="1">
        <f t="array" aca="1" ref="D58" ca="1">INDIRECT(ADDRESS(myRAND(1,D$2,D$8:D$9)+5,D$1))</f>
        <v>0</v>
      </c>
      <c r="E58" cm="1">
        <f t="array" aca="1" ref="E58" ca="1">INDIRECT(ADDRESS(myRAND(1,E$2,E$8:E$9)+5,E$1))</f>
        <v>1</v>
      </c>
      <c r="F58" cm="1">
        <f t="array" aca="1" ref="F58" ca="1">INDIRECT(ADDRESS(myRAND(1,F$2,F$8:F$9)+5,F$1))</f>
        <v>0</v>
      </c>
      <c r="G58" cm="1">
        <f t="array" aca="1" ref="G58" ca="1">INDIRECT(ADDRESS(myRAND(1,G$2,G$8:G$9)+5,G$1))</f>
        <v>1</v>
      </c>
      <c r="H58" cm="1">
        <f t="array" aca="1" ref="H58" ca="1">INDIRECT(ADDRESS(myRAND(1,H$2,H$8:H$9)+5,H$1))</f>
        <v>1</v>
      </c>
      <c r="I58" cm="1">
        <f t="array" aca="1" ref="I58" ca="1">INDIRECT(ADDRESS(myRAND(1,I$2,I$8:I$9)+5,I$1))</f>
        <v>1</v>
      </c>
      <c r="J58">
        <f t="shared" ca="1" si="0"/>
        <v>12</v>
      </c>
      <c r="K58">
        <f t="shared" ca="1" si="0"/>
        <v>210</v>
      </c>
      <c r="L58" s="3">
        <f t="shared" ca="1" si="2"/>
        <v>1</v>
      </c>
      <c r="M58" s="13">
        <f t="shared" ca="1" si="3"/>
        <v>9.8856073178169385E-2</v>
      </c>
      <c r="N58">
        <f t="shared" ca="1" si="4"/>
        <v>-2.21</v>
      </c>
      <c r="O58">
        <f t="shared" ca="1" si="5"/>
        <v>0</v>
      </c>
      <c r="P58">
        <f t="shared" ca="1" si="6"/>
        <v>0</v>
      </c>
      <c r="Q58">
        <f t="shared" ca="1" si="7"/>
        <v>1</v>
      </c>
      <c r="R58">
        <f t="shared" ca="1" si="8"/>
        <v>0</v>
      </c>
      <c r="S58">
        <f t="shared" ca="1" si="9"/>
        <v>3</v>
      </c>
      <c r="T58" s="17">
        <f t="shared" ca="1" si="10"/>
        <v>4.6638095238095243</v>
      </c>
    </row>
    <row r="59" spans="2:20" x14ac:dyDescent="0.3">
      <c r="B59">
        <f t="shared" ca="1" si="1"/>
        <v>61</v>
      </c>
      <c r="C59" cm="1">
        <f t="array" aca="1" ref="C59" ca="1">INDIRECT(ADDRESS(myRAND(1,C$2,C$8:C$9)+5,C$1))</f>
        <v>0</v>
      </c>
      <c r="D59" cm="1">
        <f t="array" aca="1" ref="D59" ca="1">INDIRECT(ADDRESS(myRAND(1,D$2,D$8:D$9)+5,D$1))</f>
        <v>1</v>
      </c>
      <c r="E59" cm="1">
        <f t="array" aca="1" ref="E59" ca="1">INDIRECT(ADDRESS(myRAND(1,E$2,E$8:E$9)+5,E$1))</f>
        <v>0</v>
      </c>
      <c r="F59" cm="1">
        <f t="array" aca="1" ref="F59" ca="1">INDIRECT(ADDRESS(myRAND(1,F$2,F$8:F$9)+5,F$1))</f>
        <v>0</v>
      </c>
      <c r="G59" cm="1">
        <f t="array" aca="1" ref="G59" ca="1">INDIRECT(ADDRESS(myRAND(1,G$2,G$8:G$9)+5,G$1))</f>
        <v>0</v>
      </c>
      <c r="H59" cm="1">
        <f t="array" aca="1" ref="H59" ca="1">INDIRECT(ADDRESS(myRAND(1,H$2,H$8:H$9)+5,H$1))</f>
        <v>1</v>
      </c>
      <c r="I59" cm="1">
        <f t="array" aca="1" ref="I59" ca="1">INDIRECT(ADDRESS(myRAND(1,I$2,I$8:I$9)+5,I$1))</f>
        <v>0</v>
      </c>
      <c r="J59">
        <f t="shared" ca="1" si="0"/>
        <v>14</v>
      </c>
      <c r="K59">
        <f t="shared" ca="1" si="0"/>
        <v>223</v>
      </c>
      <c r="L59" s="3">
        <f t="shared" ca="1" si="2"/>
        <v>1</v>
      </c>
      <c r="M59" s="13">
        <f t="shared" ca="1" si="3"/>
        <v>0.12675058012214077</v>
      </c>
      <c r="N59">
        <f t="shared" ca="1" si="4"/>
        <v>-1.9300000000000002</v>
      </c>
      <c r="O59">
        <f t="shared" ca="1" si="5"/>
        <v>0</v>
      </c>
      <c r="P59">
        <f t="shared" ca="1" si="6"/>
        <v>0</v>
      </c>
      <c r="Q59">
        <f t="shared" ca="1" si="7"/>
        <v>1</v>
      </c>
      <c r="R59">
        <f t="shared" ca="1" si="8"/>
        <v>0</v>
      </c>
      <c r="S59">
        <f t="shared" ca="1" si="9"/>
        <v>1</v>
      </c>
      <c r="T59" s="17">
        <f t="shared" ca="1" si="10"/>
        <v>1.9290476190476191</v>
      </c>
    </row>
    <row r="60" spans="2:20" x14ac:dyDescent="0.3">
      <c r="B60">
        <f t="shared" ca="1" si="1"/>
        <v>37</v>
      </c>
      <c r="C60" cm="1">
        <f t="array" aca="1" ref="C60" ca="1">INDIRECT(ADDRESS(myRAND(1,C$2,C$8:C$9)+5,C$1))</f>
        <v>0</v>
      </c>
      <c r="D60" cm="1">
        <f t="array" aca="1" ref="D60" ca="1">INDIRECT(ADDRESS(myRAND(1,D$2,D$8:D$9)+5,D$1))</f>
        <v>1</v>
      </c>
      <c r="E60" cm="1">
        <f t="array" aca="1" ref="E60" ca="1">INDIRECT(ADDRESS(myRAND(1,E$2,E$8:E$9)+5,E$1))</f>
        <v>0</v>
      </c>
      <c r="F60" cm="1">
        <f t="array" aca="1" ref="F60" ca="1">INDIRECT(ADDRESS(myRAND(1,F$2,F$8:F$9)+5,F$1))</f>
        <v>0</v>
      </c>
      <c r="G60" cm="1">
        <f t="array" aca="1" ref="G60" ca="1">INDIRECT(ADDRESS(myRAND(1,G$2,G$8:G$9)+5,G$1))</f>
        <v>0</v>
      </c>
      <c r="H60" cm="1">
        <f t="array" aca="1" ref="H60" ca="1">INDIRECT(ADDRESS(myRAND(1,H$2,H$8:H$9)+5,H$1))</f>
        <v>1</v>
      </c>
      <c r="I60" cm="1">
        <f t="array" aca="1" ref="I60" ca="1">INDIRECT(ADDRESS(myRAND(1,I$2,I$8:I$9)+5,I$1))</f>
        <v>0</v>
      </c>
      <c r="J60">
        <f t="shared" ca="1" si="0"/>
        <v>14</v>
      </c>
      <c r="K60">
        <f t="shared" ca="1" si="0"/>
        <v>198</v>
      </c>
      <c r="L60" s="3">
        <f t="shared" ca="1" si="2"/>
        <v>1</v>
      </c>
      <c r="M60" s="13">
        <f t="shared" ca="1" si="3"/>
        <v>5.2650118435302901E-2</v>
      </c>
      <c r="N60">
        <f t="shared" ca="1" si="4"/>
        <v>-2.89</v>
      </c>
      <c r="O60">
        <f t="shared" ca="1" si="5"/>
        <v>0</v>
      </c>
      <c r="P60">
        <f t="shared" ca="1" si="6"/>
        <v>0</v>
      </c>
      <c r="Q60">
        <f t="shared" ca="1" si="7"/>
        <v>1</v>
      </c>
      <c r="R60">
        <f t="shared" ca="1" si="8"/>
        <v>0</v>
      </c>
      <c r="S60">
        <f t="shared" ca="1" si="9"/>
        <v>1</v>
      </c>
      <c r="T60" s="17">
        <f t="shared" ca="1" si="10"/>
        <v>1.57</v>
      </c>
    </row>
    <row r="61" spans="2:20" x14ac:dyDescent="0.3">
      <c r="B61">
        <f t="shared" ca="1" si="1"/>
        <v>51</v>
      </c>
      <c r="C61" cm="1">
        <f t="array" aca="1" ref="C61" ca="1">INDIRECT(ADDRESS(myRAND(1,C$2,C$8:C$9)+5,C$1))</f>
        <v>1</v>
      </c>
      <c r="D61" cm="1">
        <f t="array" aca="1" ref="D61" ca="1">INDIRECT(ADDRESS(myRAND(1,D$2,D$8:D$9)+5,D$1))</f>
        <v>1</v>
      </c>
      <c r="E61" cm="1">
        <f t="array" aca="1" ref="E61" ca="1">INDIRECT(ADDRESS(myRAND(1,E$2,E$8:E$9)+5,E$1))</f>
        <v>0</v>
      </c>
      <c r="F61" cm="1">
        <f t="array" aca="1" ref="F61" ca="1">INDIRECT(ADDRESS(myRAND(1,F$2,F$8:F$9)+5,F$1))</f>
        <v>0</v>
      </c>
      <c r="G61" cm="1">
        <f t="array" aca="1" ref="G61" ca="1">INDIRECT(ADDRESS(myRAND(1,G$2,G$8:G$9)+5,G$1))</f>
        <v>0</v>
      </c>
      <c r="H61" cm="1">
        <f t="array" aca="1" ref="H61" ca="1">INDIRECT(ADDRESS(myRAND(1,H$2,H$8:H$9)+5,H$1))</f>
        <v>0</v>
      </c>
      <c r="I61" cm="1">
        <f t="array" aca="1" ref="I61" ca="1">INDIRECT(ADDRESS(myRAND(1,I$2,I$8:I$9)+5,I$1))</f>
        <v>1</v>
      </c>
      <c r="J61">
        <f t="shared" ca="1" si="0"/>
        <v>10</v>
      </c>
      <c r="K61">
        <f t="shared" ca="1" si="0"/>
        <v>198</v>
      </c>
      <c r="L61" s="3">
        <f t="shared" ca="1" si="2"/>
        <v>3</v>
      </c>
      <c r="M61" s="13">
        <f t="shared" ca="1" si="3"/>
        <v>0.27091207765069353</v>
      </c>
      <c r="N61">
        <f t="shared" ca="1" si="4"/>
        <v>-0.99</v>
      </c>
      <c r="O61">
        <f t="shared" ca="1" si="5"/>
        <v>0</v>
      </c>
      <c r="P61">
        <f t="shared" ca="1" si="6"/>
        <v>0</v>
      </c>
      <c r="Q61">
        <f t="shared" ca="1" si="7"/>
        <v>1</v>
      </c>
      <c r="R61">
        <f t="shared" ca="1" si="8"/>
        <v>0</v>
      </c>
      <c r="S61">
        <f t="shared" ca="1" si="9"/>
        <v>1</v>
      </c>
      <c r="T61" s="17">
        <f t="shared" ca="1" si="10"/>
        <v>5.4433333333333334</v>
      </c>
    </row>
    <row r="62" spans="2:20" x14ac:dyDescent="0.3">
      <c r="B62">
        <f t="shared" ca="1" si="1"/>
        <v>66</v>
      </c>
      <c r="C62" cm="1">
        <f t="array" aca="1" ref="C62" ca="1">INDIRECT(ADDRESS(myRAND(1,C$2,C$8:C$9)+5,C$1))</f>
        <v>1</v>
      </c>
      <c r="D62" cm="1">
        <f t="array" aca="1" ref="D62" ca="1">INDIRECT(ADDRESS(myRAND(1,D$2,D$8:D$9)+5,D$1))</f>
        <v>0</v>
      </c>
      <c r="E62" cm="1">
        <f t="array" aca="1" ref="E62" ca="1">INDIRECT(ADDRESS(myRAND(1,E$2,E$8:E$9)+5,E$1))</f>
        <v>1</v>
      </c>
      <c r="F62" cm="1">
        <f t="array" aca="1" ref="F62" ca="1">INDIRECT(ADDRESS(myRAND(1,F$2,F$8:F$9)+5,F$1))</f>
        <v>1</v>
      </c>
      <c r="G62" cm="1">
        <f t="array" aca="1" ref="G62" ca="1">INDIRECT(ADDRESS(myRAND(1,G$2,G$8:G$9)+5,G$1))</f>
        <v>0</v>
      </c>
      <c r="H62" cm="1">
        <f t="array" aca="1" ref="H62" ca="1">INDIRECT(ADDRESS(myRAND(1,H$2,H$8:H$9)+5,H$1))</f>
        <v>1</v>
      </c>
      <c r="I62" cm="1">
        <f t="array" aca="1" ref="I62" ca="1">INDIRECT(ADDRESS(myRAND(1,I$2,I$8:I$9)+5,I$1))</f>
        <v>1</v>
      </c>
      <c r="J62">
        <f t="shared" ca="1" si="0"/>
        <v>16</v>
      </c>
      <c r="K62">
        <f t="shared" ca="1" si="0"/>
        <v>201</v>
      </c>
      <c r="L62" s="3">
        <f t="shared" ca="1" si="2"/>
        <v>3</v>
      </c>
      <c r="M62" s="13">
        <f t="shared" ca="1" si="3"/>
        <v>0.81906120684785799</v>
      </c>
      <c r="N62">
        <f t="shared" ca="1" si="4"/>
        <v>1.51</v>
      </c>
      <c r="O62">
        <f t="shared" ca="1" si="5"/>
        <v>0</v>
      </c>
      <c r="P62">
        <f t="shared" ca="1" si="6"/>
        <v>1</v>
      </c>
      <c r="Q62">
        <f t="shared" ca="1" si="7"/>
        <v>0</v>
      </c>
      <c r="R62">
        <f t="shared" ca="1" si="8"/>
        <v>0</v>
      </c>
      <c r="S62">
        <f t="shared" ca="1" si="9"/>
        <v>2</v>
      </c>
      <c r="T62" s="17">
        <f t="shared" ca="1" si="10"/>
        <v>6.0076190476190474</v>
      </c>
    </row>
    <row r="63" spans="2:20" x14ac:dyDescent="0.3">
      <c r="B63">
        <f t="shared" ca="1" si="1"/>
        <v>42</v>
      </c>
      <c r="C63" cm="1">
        <f t="array" aca="1" ref="C63" ca="1">INDIRECT(ADDRESS(myRAND(1,C$2,C$8:C$9)+5,C$1))</f>
        <v>1</v>
      </c>
      <c r="D63" cm="1">
        <f t="array" aca="1" ref="D63" ca="1">INDIRECT(ADDRESS(myRAND(1,D$2,D$8:D$9)+5,D$1))</f>
        <v>1</v>
      </c>
      <c r="E63" cm="1">
        <f t="array" aca="1" ref="E63" ca="1">INDIRECT(ADDRESS(myRAND(1,E$2,E$8:E$9)+5,E$1))</f>
        <v>0</v>
      </c>
      <c r="F63" cm="1">
        <f t="array" aca="1" ref="F63" ca="1">INDIRECT(ADDRESS(myRAND(1,F$2,F$8:F$9)+5,F$1))</f>
        <v>1</v>
      </c>
      <c r="G63" cm="1">
        <f t="array" aca="1" ref="G63" ca="1">INDIRECT(ADDRESS(myRAND(1,G$2,G$8:G$9)+5,G$1))</f>
        <v>1</v>
      </c>
      <c r="H63" cm="1">
        <f t="array" aca="1" ref="H63" ca="1">INDIRECT(ADDRESS(myRAND(1,H$2,H$8:H$9)+5,H$1))</f>
        <v>0</v>
      </c>
      <c r="I63" cm="1">
        <f t="array" aca="1" ref="I63" ca="1">INDIRECT(ADDRESS(myRAND(1,I$2,I$8:I$9)+5,I$1))</f>
        <v>0</v>
      </c>
      <c r="J63">
        <f t="shared" ca="1" si="0"/>
        <v>14</v>
      </c>
      <c r="K63">
        <f t="shared" ca="1" si="0"/>
        <v>169</v>
      </c>
      <c r="L63" s="3">
        <f t="shared" ca="1" si="2"/>
        <v>3</v>
      </c>
      <c r="M63" s="13">
        <f t="shared" ca="1" si="3"/>
        <v>0.63413559101080064</v>
      </c>
      <c r="N63">
        <f t="shared" ca="1" si="4"/>
        <v>0.5499999999999996</v>
      </c>
      <c r="O63">
        <f t="shared" ca="1" si="5"/>
        <v>0</v>
      </c>
      <c r="P63">
        <f t="shared" ca="1" si="6"/>
        <v>1</v>
      </c>
      <c r="Q63">
        <f t="shared" ca="1" si="7"/>
        <v>0</v>
      </c>
      <c r="R63">
        <f t="shared" ca="1" si="8"/>
        <v>0</v>
      </c>
      <c r="S63">
        <f t="shared" ca="1" si="9"/>
        <v>1</v>
      </c>
      <c r="T63" s="17">
        <f t="shared" ca="1" si="10"/>
        <v>2.4819047619047616</v>
      </c>
    </row>
    <row r="64" spans="2:20" x14ac:dyDescent="0.3">
      <c r="B64">
        <f t="shared" ca="1" si="1"/>
        <v>54</v>
      </c>
      <c r="C64" cm="1">
        <f t="array" aca="1" ref="C64" ca="1">INDIRECT(ADDRESS(myRAND(1,C$2,C$8:C$9)+5,C$1))</f>
        <v>0</v>
      </c>
      <c r="D64" cm="1">
        <f t="array" aca="1" ref="D64" ca="1">INDIRECT(ADDRESS(myRAND(1,D$2,D$8:D$9)+5,D$1))</f>
        <v>0</v>
      </c>
      <c r="E64" cm="1">
        <f t="array" aca="1" ref="E64" ca="1">INDIRECT(ADDRESS(myRAND(1,E$2,E$8:E$9)+5,E$1))</f>
        <v>0</v>
      </c>
      <c r="F64" cm="1">
        <f t="array" aca="1" ref="F64" ca="1">INDIRECT(ADDRESS(myRAND(1,F$2,F$8:F$9)+5,F$1))</f>
        <v>1</v>
      </c>
      <c r="G64" cm="1">
        <f t="array" aca="1" ref="G64" ca="1">INDIRECT(ADDRESS(myRAND(1,G$2,G$8:G$9)+5,G$1))</f>
        <v>0</v>
      </c>
      <c r="H64" cm="1">
        <f t="array" aca="1" ref="H64" ca="1">INDIRECT(ADDRESS(myRAND(1,H$2,H$8:H$9)+5,H$1))</f>
        <v>1</v>
      </c>
      <c r="I64" cm="1">
        <f t="array" aca="1" ref="I64" ca="1">INDIRECT(ADDRESS(myRAND(1,I$2,I$8:I$9)+5,I$1))</f>
        <v>0</v>
      </c>
      <c r="J64">
        <f t="shared" ca="1" si="0"/>
        <v>11</v>
      </c>
      <c r="K64">
        <f t="shared" ca="1" si="0"/>
        <v>222</v>
      </c>
      <c r="L64" s="3">
        <f t="shared" ca="1" si="2"/>
        <v>1</v>
      </c>
      <c r="M64" s="13">
        <f t="shared" ca="1" si="3"/>
        <v>9.8856073178169385E-2</v>
      </c>
      <c r="N64">
        <f t="shared" ca="1" si="4"/>
        <v>-2.21</v>
      </c>
      <c r="O64">
        <f t="shared" ca="1" si="5"/>
        <v>0</v>
      </c>
      <c r="P64">
        <f t="shared" ca="1" si="6"/>
        <v>0</v>
      </c>
      <c r="Q64">
        <f t="shared" ca="1" si="7"/>
        <v>1</v>
      </c>
      <c r="R64">
        <f t="shared" ca="1" si="8"/>
        <v>0</v>
      </c>
      <c r="S64">
        <f t="shared" ca="1" si="9"/>
        <v>1</v>
      </c>
      <c r="T64" s="17">
        <f t="shared" ca="1" si="10"/>
        <v>1.6542857142857144</v>
      </c>
    </row>
    <row r="65" spans="2:20" x14ac:dyDescent="0.3">
      <c r="B65">
        <f t="shared" ca="1" si="1"/>
        <v>67</v>
      </c>
      <c r="C65" cm="1">
        <f t="array" aca="1" ref="C65" ca="1">INDIRECT(ADDRESS(myRAND(1,C$2,C$8:C$9)+5,C$1))</f>
        <v>0</v>
      </c>
      <c r="D65" cm="1">
        <f t="array" aca="1" ref="D65" ca="1">INDIRECT(ADDRESS(myRAND(1,D$2,D$8:D$9)+5,D$1))</f>
        <v>0</v>
      </c>
      <c r="E65" cm="1">
        <f t="array" aca="1" ref="E65" ca="1">INDIRECT(ADDRESS(myRAND(1,E$2,E$8:E$9)+5,E$1))</f>
        <v>1</v>
      </c>
      <c r="F65" cm="1">
        <f t="array" aca="1" ref="F65" ca="1">INDIRECT(ADDRESS(myRAND(1,F$2,F$8:F$9)+5,F$1))</f>
        <v>0</v>
      </c>
      <c r="G65" cm="1">
        <f t="array" aca="1" ref="G65" ca="1">INDIRECT(ADDRESS(myRAND(1,G$2,G$8:G$9)+5,G$1))</f>
        <v>0</v>
      </c>
      <c r="H65" cm="1">
        <f t="array" aca="1" ref="H65" ca="1">INDIRECT(ADDRESS(myRAND(1,H$2,H$8:H$9)+5,H$1))</f>
        <v>0</v>
      </c>
      <c r="I65" cm="1">
        <f t="array" aca="1" ref="I65" ca="1">INDIRECT(ADDRESS(myRAND(1,I$2,I$8:I$9)+5,I$1))</f>
        <v>0</v>
      </c>
      <c r="J65">
        <f t="shared" ca="1" si="0"/>
        <v>13</v>
      </c>
      <c r="K65">
        <f t="shared" ca="1" si="0"/>
        <v>208</v>
      </c>
      <c r="L65" s="3">
        <f t="shared" ca="1" si="2"/>
        <v>2</v>
      </c>
      <c r="M65" s="13">
        <f t="shared" ca="1" si="3"/>
        <v>0.1557758401237474</v>
      </c>
      <c r="N65">
        <f t="shared" ca="1" si="4"/>
        <v>-1.69</v>
      </c>
      <c r="O65">
        <f t="shared" ca="1" si="5"/>
        <v>0</v>
      </c>
      <c r="P65">
        <f t="shared" ca="1" si="6"/>
        <v>0</v>
      </c>
      <c r="Q65">
        <f t="shared" ca="1" si="7"/>
        <v>1</v>
      </c>
      <c r="R65">
        <f t="shared" ca="1" si="8"/>
        <v>0</v>
      </c>
      <c r="S65">
        <f t="shared" ca="1" si="9"/>
        <v>0</v>
      </c>
      <c r="T65" s="17">
        <f t="shared" ca="1" si="10"/>
        <v>1.8509523809523809</v>
      </c>
    </row>
    <row r="66" spans="2:20" x14ac:dyDescent="0.3">
      <c r="B66">
        <f t="shared" ca="1" si="1"/>
        <v>51</v>
      </c>
      <c r="C66" cm="1">
        <f t="array" aca="1" ref="C66" ca="1">INDIRECT(ADDRESS(myRAND(1,C$2,C$8:C$9)+5,C$1))</f>
        <v>1</v>
      </c>
      <c r="D66" cm="1">
        <f t="array" aca="1" ref="D66" ca="1">INDIRECT(ADDRESS(myRAND(1,D$2,D$8:D$9)+5,D$1))</f>
        <v>1</v>
      </c>
      <c r="E66" cm="1">
        <f t="array" aca="1" ref="E66" ca="1">INDIRECT(ADDRESS(myRAND(1,E$2,E$8:E$9)+5,E$1))</f>
        <v>1</v>
      </c>
      <c r="F66" cm="1">
        <f t="array" aca="1" ref="F66" ca="1">INDIRECT(ADDRESS(myRAND(1,F$2,F$8:F$9)+5,F$1))</f>
        <v>1</v>
      </c>
      <c r="G66" cm="1">
        <f t="array" aca="1" ref="G66" ca="1">INDIRECT(ADDRESS(myRAND(1,G$2,G$8:G$9)+5,G$1))</f>
        <v>0</v>
      </c>
      <c r="H66" cm="1">
        <f t="array" aca="1" ref="H66" ca="1">INDIRECT(ADDRESS(myRAND(1,H$2,H$8:H$9)+5,H$1))</f>
        <v>1</v>
      </c>
      <c r="I66" cm="1">
        <f t="array" aca="1" ref="I66" ca="1">INDIRECT(ADDRESS(myRAND(1,I$2,I$8:I$9)+5,I$1))</f>
        <v>1</v>
      </c>
      <c r="J66">
        <f t="shared" ca="1" si="0"/>
        <v>16</v>
      </c>
      <c r="K66">
        <f t="shared" ca="1" si="0"/>
        <v>228</v>
      </c>
      <c r="L66" s="3">
        <f t="shared" ca="1" si="2"/>
        <v>2</v>
      </c>
      <c r="M66" s="13">
        <f t="shared" ca="1" si="3"/>
        <v>0.41338242108266998</v>
      </c>
      <c r="N66">
        <f t="shared" ca="1" si="4"/>
        <v>-0.35</v>
      </c>
      <c r="O66">
        <f t="shared" ca="1" si="5"/>
        <v>1</v>
      </c>
      <c r="P66">
        <f t="shared" ca="1" si="6"/>
        <v>0</v>
      </c>
      <c r="Q66">
        <f t="shared" ca="1" si="7"/>
        <v>0</v>
      </c>
      <c r="R66">
        <f t="shared" ca="1" si="8"/>
        <v>0</v>
      </c>
      <c r="S66">
        <f t="shared" ca="1" si="9"/>
        <v>2</v>
      </c>
      <c r="T66" s="17">
        <f t="shared" ca="1" si="10"/>
        <v>5.9861904761904761</v>
      </c>
    </row>
    <row r="67" spans="2:20" x14ac:dyDescent="0.3">
      <c r="B67">
        <f t="shared" ca="1" si="1"/>
        <v>60</v>
      </c>
      <c r="C67" cm="1">
        <f t="array" aca="1" ref="C67" ca="1">INDIRECT(ADDRESS(myRAND(1,C$2,C$8:C$9)+5,C$1))</f>
        <v>1</v>
      </c>
      <c r="D67" cm="1">
        <f t="array" aca="1" ref="D67" ca="1">INDIRECT(ADDRESS(myRAND(1,D$2,D$8:D$9)+5,D$1))</f>
        <v>0</v>
      </c>
      <c r="E67" cm="1">
        <f t="array" aca="1" ref="E67" ca="1">INDIRECT(ADDRESS(myRAND(1,E$2,E$8:E$9)+5,E$1))</f>
        <v>1</v>
      </c>
      <c r="F67" cm="1">
        <f t="array" aca="1" ref="F67" ca="1">INDIRECT(ADDRESS(myRAND(1,F$2,F$8:F$9)+5,F$1))</f>
        <v>0</v>
      </c>
      <c r="G67" cm="1">
        <f t="array" aca="1" ref="G67" ca="1">INDIRECT(ADDRESS(myRAND(1,G$2,G$8:G$9)+5,G$1))</f>
        <v>0</v>
      </c>
      <c r="H67" cm="1">
        <f t="array" aca="1" ref="H67" ca="1">INDIRECT(ADDRESS(myRAND(1,H$2,H$8:H$9)+5,H$1))</f>
        <v>0</v>
      </c>
      <c r="I67" cm="1">
        <f t="array" aca="1" ref="I67" ca="1">INDIRECT(ADDRESS(myRAND(1,I$2,I$8:I$9)+5,I$1))</f>
        <v>0</v>
      </c>
      <c r="J67">
        <f t="shared" ca="1" si="0"/>
        <v>7</v>
      </c>
      <c r="K67">
        <f t="shared" ca="1" si="0"/>
        <v>198</v>
      </c>
      <c r="L67" s="3">
        <f t="shared" ca="1" si="2"/>
        <v>2</v>
      </c>
      <c r="M67" s="13">
        <f t="shared" ca="1" si="3"/>
        <v>0.34751053780725549</v>
      </c>
      <c r="N67">
        <f t="shared" ca="1" si="4"/>
        <v>-0.63000000000000012</v>
      </c>
      <c r="O67">
        <f t="shared" ca="1" si="5"/>
        <v>0</v>
      </c>
      <c r="P67">
        <f t="shared" ca="1" si="6"/>
        <v>0</v>
      </c>
      <c r="Q67">
        <f t="shared" ca="1" si="7"/>
        <v>1</v>
      </c>
      <c r="R67">
        <f t="shared" ca="1" si="8"/>
        <v>0</v>
      </c>
      <c r="S67">
        <f t="shared" ca="1" si="9"/>
        <v>0</v>
      </c>
      <c r="T67" s="17">
        <f t="shared" ca="1" si="10"/>
        <v>2.3333333333333335</v>
      </c>
    </row>
    <row r="68" spans="2:20" x14ac:dyDescent="0.3">
      <c r="B68">
        <f t="shared" ca="1" si="1"/>
        <v>34</v>
      </c>
      <c r="C68" cm="1">
        <f t="array" aca="1" ref="C68" ca="1">INDIRECT(ADDRESS(myRAND(1,C$2,C$8:C$9)+5,C$1))</f>
        <v>1</v>
      </c>
      <c r="D68" cm="1">
        <f t="array" aca="1" ref="D68" ca="1">INDIRECT(ADDRESS(myRAND(1,D$2,D$8:D$9)+5,D$1))</f>
        <v>1</v>
      </c>
      <c r="E68" cm="1">
        <f t="array" aca="1" ref="E68" ca="1">INDIRECT(ADDRESS(myRAND(1,E$2,E$8:E$9)+5,E$1))</f>
        <v>1</v>
      </c>
      <c r="F68" cm="1">
        <f t="array" aca="1" ref="F68" ca="1">INDIRECT(ADDRESS(myRAND(1,F$2,F$8:F$9)+5,F$1))</f>
        <v>1</v>
      </c>
      <c r="G68" cm="1">
        <f t="array" aca="1" ref="G68" ca="1">INDIRECT(ADDRESS(myRAND(1,G$2,G$8:G$9)+5,G$1))</f>
        <v>0</v>
      </c>
      <c r="H68" cm="1">
        <f t="array" aca="1" ref="H68" ca="1">INDIRECT(ADDRESS(myRAND(1,H$2,H$8:H$9)+5,H$1))</f>
        <v>0</v>
      </c>
      <c r="I68" cm="1">
        <f t="array" aca="1" ref="I68" ca="1">INDIRECT(ADDRESS(myRAND(1,I$2,I$8:I$9)+5,I$1))</f>
        <v>1</v>
      </c>
      <c r="J68">
        <f t="shared" ca="1" si="0"/>
        <v>12</v>
      </c>
      <c r="K68">
        <f t="shared" ca="1" si="0"/>
        <v>194</v>
      </c>
      <c r="L68" s="3">
        <f t="shared" ca="1" si="2"/>
        <v>3</v>
      </c>
      <c r="M68" s="13">
        <f t="shared" ca="1" si="3"/>
        <v>0.26308410416657979</v>
      </c>
      <c r="N68">
        <f t="shared" ca="1" si="4"/>
        <v>-1.0299999999999998</v>
      </c>
      <c r="O68">
        <f t="shared" ca="1" si="5"/>
        <v>1</v>
      </c>
      <c r="P68">
        <f t="shared" ca="1" si="6"/>
        <v>0</v>
      </c>
      <c r="Q68">
        <f t="shared" ca="1" si="7"/>
        <v>0</v>
      </c>
      <c r="R68">
        <f t="shared" ca="1" si="8"/>
        <v>0</v>
      </c>
      <c r="S68">
        <f t="shared" ca="1" si="9"/>
        <v>1</v>
      </c>
      <c r="T68" s="17">
        <f t="shared" ca="1" si="10"/>
        <v>5.3876190476190473</v>
      </c>
    </row>
    <row r="69" spans="2:20" x14ac:dyDescent="0.3">
      <c r="B69">
        <f t="shared" ca="1" si="1"/>
        <v>63</v>
      </c>
      <c r="C69" cm="1">
        <f t="array" aca="1" ref="C69" ca="1">INDIRECT(ADDRESS(myRAND(1,C$2,C$8:C$9)+5,C$1))</f>
        <v>1</v>
      </c>
      <c r="D69" cm="1">
        <f t="array" aca="1" ref="D69" ca="1">INDIRECT(ADDRESS(myRAND(1,D$2,D$8:D$9)+5,D$1))</f>
        <v>1</v>
      </c>
      <c r="E69" cm="1">
        <f t="array" aca="1" ref="E69" ca="1">INDIRECT(ADDRESS(myRAND(1,E$2,E$8:E$9)+5,E$1))</f>
        <v>0</v>
      </c>
      <c r="F69" cm="1">
        <f t="array" aca="1" ref="F69" ca="1">INDIRECT(ADDRESS(myRAND(1,F$2,F$8:F$9)+5,F$1))</f>
        <v>1</v>
      </c>
      <c r="G69" cm="1">
        <f t="array" aca="1" ref="G69" ca="1">INDIRECT(ADDRESS(myRAND(1,G$2,G$8:G$9)+5,G$1))</f>
        <v>0</v>
      </c>
      <c r="H69" cm="1">
        <f t="array" aca="1" ref="H69" ca="1">INDIRECT(ADDRESS(myRAND(1,H$2,H$8:H$9)+5,H$1))</f>
        <v>0</v>
      </c>
      <c r="I69" cm="1">
        <f t="array" aca="1" ref="I69" ca="1">INDIRECT(ADDRESS(myRAND(1,I$2,I$8:I$9)+5,I$1))</f>
        <v>1</v>
      </c>
      <c r="J69">
        <f t="shared" ca="1" si="0"/>
        <v>14</v>
      </c>
      <c r="K69">
        <f t="shared" ca="1" si="0"/>
        <v>237</v>
      </c>
      <c r="L69" s="3">
        <f t="shared" ca="1" si="2"/>
        <v>3</v>
      </c>
      <c r="M69" s="13">
        <f t="shared" ca="1" si="3"/>
        <v>0.80059224315133148</v>
      </c>
      <c r="N69">
        <f t="shared" ca="1" si="4"/>
        <v>1.39</v>
      </c>
      <c r="O69">
        <f t="shared" ca="1" si="5"/>
        <v>0</v>
      </c>
      <c r="P69">
        <f t="shared" ca="1" si="6"/>
        <v>1</v>
      </c>
      <c r="Q69">
        <f t="shared" ca="1" si="7"/>
        <v>0</v>
      </c>
      <c r="R69">
        <f t="shared" ca="1" si="8"/>
        <v>0</v>
      </c>
      <c r="S69">
        <f t="shared" ca="1" si="9"/>
        <v>1</v>
      </c>
      <c r="T69" s="17">
        <f t="shared" ca="1" si="10"/>
        <v>6.015714285714286</v>
      </c>
    </row>
    <row r="70" spans="2:20" x14ac:dyDescent="0.3">
      <c r="B70">
        <f t="shared" ca="1" si="1"/>
        <v>57</v>
      </c>
      <c r="C70" cm="1">
        <f t="array" aca="1" ref="C70" ca="1">INDIRECT(ADDRESS(myRAND(1,C$2,C$8:C$9)+5,C$1))</f>
        <v>1</v>
      </c>
      <c r="D70" cm="1">
        <f t="array" aca="1" ref="D70" ca="1">INDIRECT(ADDRESS(myRAND(1,D$2,D$8:D$9)+5,D$1))</f>
        <v>0</v>
      </c>
      <c r="E70" cm="1">
        <f t="array" aca="1" ref="E70" ca="1">INDIRECT(ADDRESS(myRAND(1,E$2,E$8:E$9)+5,E$1))</f>
        <v>1</v>
      </c>
      <c r="F70" cm="1">
        <f t="array" aca="1" ref="F70" ca="1">INDIRECT(ADDRESS(myRAND(1,F$2,F$8:F$9)+5,F$1))</f>
        <v>1</v>
      </c>
      <c r="G70" cm="1">
        <f t="array" aca="1" ref="G70" ca="1">INDIRECT(ADDRESS(myRAND(1,G$2,G$8:G$9)+5,G$1))</f>
        <v>0</v>
      </c>
      <c r="H70" cm="1">
        <f t="array" aca="1" ref="H70" ca="1">INDIRECT(ADDRESS(myRAND(1,H$2,H$8:H$9)+5,H$1))</f>
        <v>0</v>
      </c>
      <c r="I70" cm="1">
        <f t="array" aca="1" ref="I70" ca="1">INDIRECT(ADDRESS(myRAND(1,I$2,I$8:I$9)+5,I$1))</f>
        <v>1</v>
      </c>
      <c r="J70">
        <f t="shared" ca="1" si="0"/>
        <v>16</v>
      </c>
      <c r="K70">
        <f t="shared" ca="1" si="0"/>
        <v>225</v>
      </c>
      <c r="L70" s="3">
        <f t="shared" ca="1" si="2"/>
        <v>3</v>
      </c>
      <c r="M70" s="13">
        <f t="shared" ca="1" si="3"/>
        <v>0.75951091694911099</v>
      </c>
      <c r="N70">
        <f t="shared" ca="1" si="4"/>
        <v>1.1500000000000001</v>
      </c>
      <c r="O70">
        <f t="shared" ca="1" si="5"/>
        <v>0</v>
      </c>
      <c r="P70">
        <f t="shared" ca="1" si="6"/>
        <v>1</v>
      </c>
      <c r="Q70">
        <f t="shared" ca="1" si="7"/>
        <v>0</v>
      </c>
      <c r="R70">
        <f t="shared" ca="1" si="8"/>
        <v>0</v>
      </c>
      <c r="S70">
        <f t="shared" ca="1" si="9"/>
        <v>1</v>
      </c>
      <c r="T70" s="17">
        <f t="shared" ca="1" si="10"/>
        <v>6.0319047619047623</v>
      </c>
    </row>
    <row r="71" spans="2:20" x14ac:dyDescent="0.3">
      <c r="B71">
        <f t="shared" ca="1" si="1"/>
        <v>49</v>
      </c>
      <c r="C71" cm="1">
        <f t="array" aca="1" ref="C71" ca="1">INDIRECT(ADDRESS(myRAND(1,C$2,C$8:C$9)+5,C$1))</f>
        <v>0</v>
      </c>
      <c r="D71" cm="1">
        <f t="array" aca="1" ref="D71" ca="1">INDIRECT(ADDRESS(myRAND(1,D$2,D$8:D$9)+5,D$1))</f>
        <v>0</v>
      </c>
      <c r="E71" cm="1">
        <f t="array" aca="1" ref="E71" ca="1">INDIRECT(ADDRESS(myRAND(1,E$2,E$8:E$9)+5,E$1))</f>
        <v>1</v>
      </c>
      <c r="F71" cm="1">
        <f t="array" aca="1" ref="F71" ca="1">INDIRECT(ADDRESS(myRAND(1,F$2,F$8:F$9)+5,F$1))</f>
        <v>0</v>
      </c>
      <c r="G71" cm="1">
        <f t="array" aca="1" ref="G71" ca="1">INDIRECT(ADDRESS(myRAND(1,G$2,G$8:G$9)+5,G$1))</f>
        <v>0</v>
      </c>
      <c r="H71" cm="1">
        <f t="array" aca="1" ref="H71" ca="1">INDIRECT(ADDRESS(myRAND(1,H$2,H$8:H$9)+5,H$1))</f>
        <v>0</v>
      </c>
      <c r="I71" cm="1">
        <f t="array" aca="1" ref="I71" ca="1">INDIRECT(ADDRESS(myRAND(1,I$2,I$8:I$9)+5,I$1))</f>
        <v>0</v>
      </c>
      <c r="J71">
        <f t="shared" ca="1" si="0"/>
        <v>16</v>
      </c>
      <c r="K71">
        <f t="shared" ca="1" si="0"/>
        <v>238</v>
      </c>
      <c r="L71" s="3">
        <f t="shared" ca="1" si="2"/>
        <v>1</v>
      </c>
      <c r="M71" s="13">
        <f t="shared" ca="1" si="3"/>
        <v>8.2413318127912791E-2</v>
      </c>
      <c r="N71">
        <f t="shared" ca="1" si="4"/>
        <v>-2.41</v>
      </c>
      <c r="O71">
        <f t="shared" ca="1" si="5"/>
        <v>0</v>
      </c>
      <c r="P71">
        <f t="shared" ca="1" si="6"/>
        <v>0</v>
      </c>
      <c r="Q71">
        <f t="shared" ca="1" si="7"/>
        <v>1</v>
      </c>
      <c r="R71">
        <f t="shared" ca="1" si="8"/>
        <v>0</v>
      </c>
      <c r="S71">
        <f t="shared" ca="1" si="9"/>
        <v>0</v>
      </c>
      <c r="T71" s="17">
        <f t="shared" ca="1" si="10"/>
        <v>2.0138095238095239</v>
      </c>
    </row>
    <row r="72" spans="2:20" x14ac:dyDescent="0.3">
      <c r="B72">
        <f t="shared" ca="1" si="1"/>
        <v>53</v>
      </c>
      <c r="C72" cm="1">
        <f t="array" aca="1" ref="C72" ca="1">INDIRECT(ADDRESS(myRAND(1,C$2,C$8:C$9)+5,C$1))</f>
        <v>1</v>
      </c>
      <c r="D72" cm="1">
        <f t="array" aca="1" ref="D72" ca="1">INDIRECT(ADDRESS(myRAND(1,D$2,D$8:D$9)+5,D$1))</f>
        <v>1</v>
      </c>
      <c r="E72" cm="1">
        <f t="array" aca="1" ref="E72" ca="1">INDIRECT(ADDRESS(myRAND(1,E$2,E$8:E$9)+5,E$1))</f>
        <v>0</v>
      </c>
      <c r="F72" cm="1">
        <f t="array" aca="1" ref="F72" ca="1">INDIRECT(ADDRESS(myRAND(1,F$2,F$8:F$9)+5,F$1))</f>
        <v>0</v>
      </c>
      <c r="G72" cm="1">
        <f t="array" aca="1" ref="G72" ca="1">INDIRECT(ADDRESS(myRAND(1,G$2,G$8:G$9)+5,G$1))</f>
        <v>0</v>
      </c>
      <c r="H72" cm="1">
        <f t="array" aca="1" ref="H72" ca="1">INDIRECT(ADDRESS(myRAND(1,H$2,H$8:H$9)+5,H$1))</f>
        <v>0</v>
      </c>
      <c r="I72" cm="1">
        <f t="array" aca="1" ref="I72" ca="1">INDIRECT(ADDRESS(myRAND(1,I$2,I$8:I$9)+5,I$1))</f>
        <v>0</v>
      </c>
      <c r="J72">
        <f t="shared" ca="1" si="0"/>
        <v>16</v>
      </c>
      <c r="K72">
        <f t="shared" ca="1" si="0"/>
        <v>195</v>
      </c>
      <c r="L72" s="3">
        <f t="shared" ca="1" si="2"/>
        <v>3</v>
      </c>
      <c r="M72" s="13">
        <f t="shared" ca="1" si="3"/>
        <v>0.28699983724771833</v>
      </c>
      <c r="N72">
        <f t="shared" ca="1" si="4"/>
        <v>-0.90999999999999992</v>
      </c>
      <c r="O72">
        <f t="shared" ca="1" si="5"/>
        <v>0</v>
      </c>
      <c r="P72">
        <f t="shared" ca="1" si="6"/>
        <v>0</v>
      </c>
      <c r="Q72">
        <f t="shared" ca="1" si="7"/>
        <v>1</v>
      </c>
      <c r="R72">
        <f t="shared" ca="1" si="8"/>
        <v>0</v>
      </c>
      <c r="S72">
        <f t="shared" ca="1" si="9"/>
        <v>0</v>
      </c>
      <c r="T72" s="17">
        <f t="shared" ca="1" si="10"/>
        <v>2.8490476190476191</v>
      </c>
    </row>
    <row r="73" spans="2:20" x14ac:dyDescent="0.3">
      <c r="B73">
        <f t="shared" ca="1" si="1"/>
        <v>44</v>
      </c>
      <c r="C73" cm="1">
        <f t="array" aca="1" ref="C73" ca="1">INDIRECT(ADDRESS(myRAND(1,C$2,C$8:C$9)+5,C$1))</f>
        <v>0</v>
      </c>
      <c r="D73" cm="1">
        <f t="array" aca="1" ref="D73" ca="1">INDIRECT(ADDRESS(myRAND(1,D$2,D$8:D$9)+5,D$1))</f>
        <v>0</v>
      </c>
      <c r="E73" cm="1">
        <f t="array" aca="1" ref="E73" ca="1">INDIRECT(ADDRESS(myRAND(1,E$2,E$8:E$9)+5,E$1))</f>
        <v>0</v>
      </c>
      <c r="F73" cm="1">
        <f t="array" aca="1" ref="F73" ca="1">INDIRECT(ADDRESS(myRAND(1,F$2,F$8:F$9)+5,F$1))</f>
        <v>1</v>
      </c>
      <c r="G73" cm="1">
        <f t="array" aca="1" ref="G73" ca="1">INDIRECT(ADDRESS(myRAND(1,G$2,G$8:G$9)+5,G$1))</f>
        <v>1</v>
      </c>
      <c r="H73" cm="1">
        <f t="array" aca="1" ref="H73" ca="1">INDIRECT(ADDRESS(myRAND(1,H$2,H$8:H$9)+5,H$1))</f>
        <v>0</v>
      </c>
      <c r="I73" cm="1">
        <f t="array" aca="1" ref="I73" ca="1">INDIRECT(ADDRESS(myRAND(1,I$2,I$8:I$9)+5,I$1))</f>
        <v>1</v>
      </c>
      <c r="J73">
        <f t="shared" ca="1" si="0"/>
        <v>17</v>
      </c>
      <c r="K73">
        <f t="shared" ca="1" si="0"/>
        <v>262</v>
      </c>
      <c r="L73" s="3">
        <f t="shared" ca="1" si="2"/>
        <v>1</v>
      </c>
      <c r="M73" s="13">
        <f t="shared" ca="1" si="3"/>
        <v>6.8497603724326075E-2</v>
      </c>
      <c r="N73">
        <f t="shared" ca="1" si="4"/>
        <v>-2.6100000000000003</v>
      </c>
      <c r="O73">
        <f t="shared" ca="1" si="5"/>
        <v>0</v>
      </c>
      <c r="P73">
        <f t="shared" ca="1" si="6"/>
        <v>0</v>
      </c>
      <c r="Q73">
        <f t="shared" ca="1" si="7"/>
        <v>1</v>
      </c>
      <c r="R73">
        <f t="shared" ca="1" si="8"/>
        <v>0</v>
      </c>
      <c r="S73">
        <f t="shared" ca="1" si="9"/>
        <v>2</v>
      </c>
      <c r="T73" s="17">
        <f t="shared" ca="1" si="10"/>
        <v>5.1447619047619053</v>
      </c>
    </row>
    <row r="74" spans="2:20" x14ac:dyDescent="0.3">
      <c r="B74">
        <f t="shared" ca="1" si="1"/>
        <v>60</v>
      </c>
      <c r="C74" cm="1">
        <f t="array" aca="1" ref="C74" ca="1">INDIRECT(ADDRESS(myRAND(1,C$2,C$8:C$9)+5,C$1))</f>
        <v>1</v>
      </c>
      <c r="D74" cm="1">
        <f t="array" aca="1" ref="D74" ca="1">INDIRECT(ADDRESS(myRAND(1,D$2,D$8:D$9)+5,D$1))</f>
        <v>1</v>
      </c>
      <c r="E74" cm="1">
        <f t="array" aca="1" ref="E74" ca="1">INDIRECT(ADDRESS(myRAND(1,E$2,E$8:E$9)+5,E$1))</f>
        <v>0</v>
      </c>
      <c r="F74" cm="1">
        <f t="array" aca="1" ref="F74" ca="1">INDIRECT(ADDRESS(myRAND(1,F$2,F$8:F$9)+5,F$1))</f>
        <v>1</v>
      </c>
      <c r="G74" cm="1">
        <f t="array" aca="1" ref="G74" ca="1">INDIRECT(ADDRESS(myRAND(1,G$2,G$8:G$9)+5,G$1))</f>
        <v>0</v>
      </c>
      <c r="H74" cm="1">
        <f t="array" aca="1" ref="H74" ca="1">INDIRECT(ADDRESS(myRAND(1,H$2,H$8:H$9)+5,H$1))</f>
        <v>0</v>
      </c>
      <c r="I74" cm="1">
        <f t="array" aca="1" ref="I74" ca="1">INDIRECT(ADDRESS(myRAND(1,I$2,I$8:I$9)+5,I$1))</f>
        <v>1</v>
      </c>
      <c r="J74">
        <f t="shared" ca="1" si="0"/>
        <v>13</v>
      </c>
      <c r="K74">
        <f t="shared" ca="1" si="0"/>
        <v>231</v>
      </c>
      <c r="L74" s="3">
        <f t="shared" ca="1" si="2"/>
        <v>3</v>
      </c>
      <c r="M74" s="13">
        <f t="shared" ca="1" si="3"/>
        <v>0.78074274791212817</v>
      </c>
      <c r="N74">
        <f t="shared" ca="1" si="4"/>
        <v>1.2699999999999998</v>
      </c>
      <c r="O74">
        <f t="shared" ca="1" si="5"/>
        <v>0</v>
      </c>
      <c r="P74">
        <f t="shared" ca="1" si="6"/>
        <v>1</v>
      </c>
      <c r="Q74">
        <f t="shared" ca="1" si="7"/>
        <v>0</v>
      </c>
      <c r="R74">
        <f t="shared" ca="1" si="8"/>
        <v>0</v>
      </c>
      <c r="S74">
        <f t="shared" ca="1" si="9"/>
        <v>1</v>
      </c>
      <c r="T74" s="17">
        <f t="shared" ca="1" si="10"/>
        <v>5.8904761904761909</v>
      </c>
    </row>
    <row r="75" spans="2:20" x14ac:dyDescent="0.3">
      <c r="B75">
        <f t="shared" ca="1" si="1"/>
        <v>53</v>
      </c>
      <c r="C75" cm="1">
        <f t="array" aca="1" ref="C75" ca="1">INDIRECT(ADDRESS(myRAND(1,C$2,C$8:C$9)+5,C$1))</f>
        <v>0</v>
      </c>
      <c r="D75" cm="1">
        <f t="array" aca="1" ref="D75" ca="1">INDIRECT(ADDRESS(myRAND(1,D$2,D$8:D$9)+5,D$1))</f>
        <v>1</v>
      </c>
      <c r="E75" cm="1">
        <f t="array" aca="1" ref="E75" ca="1">INDIRECT(ADDRESS(myRAND(1,E$2,E$8:E$9)+5,E$1))</f>
        <v>0</v>
      </c>
      <c r="F75" cm="1">
        <f t="array" aca="1" ref="F75" ca="1">INDIRECT(ADDRESS(myRAND(1,F$2,F$8:F$9)+5,F$1))</f>
        <v>0</v>
      </c>
      <c r="G75" cm="1">
        <f t="array" aca="1" ref="G75" ca="1">INDIRECT(ADDRESS(myRAND(1,G$2,G$8:G$9)+5,G$1))</f>
        <v>1</v>
      </c>
      <c r="H75" cm="1">
        <f t="array" aca="1" ref="H75" ca="1">INDIRECT(ADDRESS(myRAND(1,H$2,H$8:H$9)+5,H$1))</f>
        <v>0</v>
      </c>
      <c r="I75" cm="1">
        <f t="array" aca="1" ref="I75" ca="1">INDIRECT(ADDRESS(myRAND(1,I$2,I$8:I$9)+5,I$1))</f>
        <v>1</v>
      </c>
      <c r="J75">
        <f t="shared" ca="1" si="0"/>
        <v>15</v>
      </c>
      <c r="K75">
        <f t="shared" ca="1" si="0"/>
        <v>206</v>
      </c>
      <c r="L75" s="3">
        <f t="shared" ca="1" si="2"/>
        <v>1</v>
      </c>
      <c r="M75" s="13">
        <f t="shared" ca="1" si="3"/>
        <v>9.534946489910949E-2</v>
      </c>
      <c r="N75">
        <f t="shared" ca="1" si="4"/>
        <v>-2.25</v>
      </c>
      <c r="O75">
        <f t="shared" ca="1" si="5"/>
        <v>0</v>
      </c>
      <c r="P75">
        <f t="shared" ca="1" si="6"/>
        <v>0</v>
      </c>
      <c r="Q75">
        <f t="shared" ca="1" si="7"/>
        <v>1</v>
      </c>
      <c r="R75">
        <f t="shared" ca="1" si="8"/>
        <v>0</v>
      </c>
      <c r="S75">
        <f t="shared" ca="1" si="9"/>
        <v>2</v>
      </c>
      <c r="T75" s="17">
        <f t="shared" ca="1" si="10"/>
        <v>4.8347619047619048</v>
      </c>
    </row>
    <row r="76" spans="2:20" x14ac:dyDescent="0.3">
      <c r="B76">
        <f t="shared" ca="1" si="1"/>
        <v>48</v>
      </c>
      <c r="C76" cm="1">
        <f t="array" aca="1" ref="C76" ca="1">INDIRECT(ADDRESS(myRAND(1,C$2,C$8:C$9)+5,C$1))</f>
        <v>1</v>
      </c>
      <c r="D76" cm="1">
        <f t="array" aca="1" ref="D76" ca="1">INDIRECT(ADDRESS(myRAND(1,D$2,D$8:D$9)+5,D$1))</f>
        <v>1</v>
      </c>
      <c r="E76" cm="1">
        <f t="array" aca="1" ref="E76" ca="1">INDIRECT(ADDRESS(myRAND(1,E$2,E$8:E$9)+5,E$1))</f>
        <v>0</v>
      </c>
      <c r="F76" cm="1">
        <f t="array" aca="1" ref="F76" ca="1">INDIRECT(ADDRESS(myRAND(1,F$2,F$8:F$9)+5,F$1))</f>
        <v>1</v>
      </c>
      <c r="G76" cm="1">
        <f t="array" aca="1" ref="G76" ca="1">INDIRECT(ADDRESS(myRAND(1,G$2,G$8:G$9)+5,G$1))</f>
        <v>1</v>
      </c>
      <c r="H76" cm="1">
        <f t="array" aca="1" ref="H76" ca="1">INDIRECT(ADDRESS(myRAND(1,H$2,H$8:H$9)+5,H$1))</f>
        <v>0</v>
      </c>
      <c r="I76" cm="1">
        <f t="array" aca="1" ref="I76" ca="1">INDIRECT(ADDRESS(myRAND(1,I$2,I$8:I$9)+5,I$1))</f>
        <v>1</v>
      </c>
      <c r="J76">
        <f t="shared" ca="1" si="0"/>
        <v>16</v>
      </c>
      <c r="K76">
        <f t="shared" ca="1" si="0"/>
        <v>157</v>
      </c>
      <c r="L76" s="3">
        <f t="shared" ca="1" si="2"/>
        <v>3</v>
      </c>
      <c r="M76" s="13">
        <f t="shared" ca="1" si="3"/>
        <v>0.68783133058284041</v>
      </c>
      <c r="N76">
        <f t="shared" ca="1" si="4"/>
        <v>0.78999999999999981</v>
      </c>
      <c r="O76">
        <f t="shared" ca="1" si="5"/>
        <v>0</v>
      </c>
      <c r="P76">
        <f t="shared" ca="1" si="6"/>
        <v>1</v>
      </c>
      <c r="Q76">
        <f t="shared" ca="1" si="7"/>
        <v>0</v>
      </c>
      <c r="R76">
        <f t="shared" ca="1" si="8"/>
        <v>0</v>
      </c>
      <c r="S76">
        <f t="shared" ca="1" si="9"/>
        <v>2</v>
      </c>
      <c r="T76" s="17">
        <f t="shared" ca="1" si="10"/>
        <v>5.618095238095238</v>
      </c>
    </row>
    <row r="77" spans="2:20" x14ac:dyDescent="0.3">
      <c r="B77">
        <f t="shared" ca="1" si="1"/>
        <v>61</v>
      </c>
      <c r="C77" cm="1">
        <f t="array" aca="1" ref="C77" ca="1">INDIRECT(ADDRESS(myRAND(1,C$2,C$8:C$9)+5,C$1))</f>
        <v>0</v>
      </c>
      <c r="D77" cm="1">
        <f t="array" aca="1" ref="D77" ca="1">INDIRECT(ADDRESS(myRAND(1,D$2,D$8:D$9)+5,D$1))</f>
        <v>1</v>
      </c>
      <c r="E77" cm="1">
        <f t="array" aca="1" ref="E77" ca="1">INDIRECT(ADDRESS(myRAND(1,E$2,E$8:E$9)+5,E$1))</f>
        <v>1</v>
      </c>
      <c r="F77" cm="1">
        <f t="array" aca="1" ref="F77" ca="1">INDIRECT(ADDRESS(myRAND(1,F$2,F$8:F$9)+5,F$1))</f>
        <v>1</v>
      </c>
      <c r="G77" cm="1">
        <f t="array" aca="1" ref="G77" ca="1">INDIRECT(ADDRESS(myRAND(1,G$2,G$8:G$9)+5,G$1))</f>
        <v>0</v>
      </c>
      <c r="H77" cm="1">
        <f t="array" aca="1" ref="H77" ca="1">INDIRECT(ADDRESS(myRAND(1,H$2,H$8:H$9)+5,H$1))</f>
        <v>0</v>
      </c>
      <c r="I77" cm="1">
        <f t="array" aca="1" ref="I77" ca="1">INDIRECT(ADDRESS(myRAND(1,I$2,I$8:I$9)+5,I$1))</f>
        <v>1</v>
      </c>
      <c r="J77">
        <f t="shared" ca="1" si="0"/>
        <v>13</v>
      </c>
      <c r="K77">
        <f t="shared" ca="1" si="0"/>
        <v>231</v>
      </c>
      <c r="L77" s="3">
        <f t="shared" ca="1" si="2"/>
        <v>3</v>
      </c>
      <c r="M77" s="13">
        <f t="shared" ca="1" si="3"/>
        <v>0.21585281082251456</v>
      </c>
      <c r="N77">
        <f t="shared" ca="1" si="4"/>
        <v>-1.29</v>
      </c>
      <c r="O77">
        <f t="shared" ca="1" si="5"/>
        <v>1</v>
      </c>
      <c r="P77">
        <f t="shared" ca="1" si="6"/>
        <v>0</v>
      </c>
      <c r="Q77">
        <f t="shared" ca="1" si="7"/>
        <v>0</v>
      </c>
      <c r="R77">
        <f t="shared" ca="1" si="8"/>
        <v>0</v>
      </c>
      <c r="S77">
        <f t="shared" ca="1" si="9"/>
        <v>1</v>
      </c>
      <c r="T77" s="17">
        <f t="shared" ca="1" si="10"/>
        <v>4.9004761904761907</v>
      </c>
    </row>
    <row r="78" spans="2:20" x14ac:dyDescent="0.3">
      <c r="B78">
        <f t="shared" ca="1" si="1"/>
        <v>30</v>
      </c>
      <c r="C78" cm="1">
        <f t="array" aca="1" ref="C78" ca="1">INDIRECT(ADDRESS(myRAND(1,C$2,C$8:C$9)+5,C$1))</f>
        <v>1</v>
      </c>
      <c r="D78" cm="1">
        <f t="array" aca="1" ref="D78" ca="1">INDIRECT(ADDRESS(myRAND(1,D$2,D$8:D$9)+5,D$1))</f>
        <v>0</v>
      </c>
      <c r="E78" cm="1">
        <f t="array" aca="1" ref="E78" ca="1">INDIRECT(ADDRESS(myRAND(1,E$2,E$8:E$9)+5,E$1))</f>
        <v>0</v>
      </c>
      <c r="F78" cm="1">
        <f t="array" aca="1" ref="F78" ca="1">INDIRECT(ADDRESS(myRAND(1,F$2,F$8:F$9)+5,F$1))</f>
        <v>0</v>
      </c>
      <c r="G78" cm="1">
        <f t="array" aca="1" ref="G78" ca="1">INDIRECT(ADDRESS(myRAND(1,G$2,G$8:G$9)+5,G$1))</f>
        <v>0</v>
      </c>
      <c r="H78" cm="1">
        <f t="array" aca="1" ref="H78" ca="1">INDIRECT(ADDRESS(myRAND(1,H$2,H$8:H$9)+5,H$1))</f>
        <v>1</v>
      </c>
      <c r="I78" cm="1">
        <f t="array" aca="1" ref="I78" ca="1">INDIRECT(ADDRESS(myRAND(1,I$2,I$8:I$9)+5,I$1))</f>
        <v>1</v>
      </c>
      <c r="J78">
        <f t="shared" ca="1" si="0"/>
        <v>22</v>
      </c>
      <c r="K78">
        <f t="shared" ca="1" si="0"/>
        <v>216</v>
      </c>
      <c r="L78" s="3">
        <f t="shared" ca="1" si="2"/>
        <v>3</v>
      </c>
      <c r="M78" s="13">
        <f t="shared" ca="1" si="3"/>
        <v>0.13823827317249407</v>
      </c>
      <c r="N78">
        <f t="shared" ca="1" si="4"/>
        <v>-1.8299999999999998</v>
      </c>
      <c r="O78">
        <f t="shared" ca="1" si="5"/>
        <v>0</v>
      </c>
      <c r="P78">
        <f t="shared" ca="1" si="6"/>
        <v>0</v>
      </c>
      <c r="Q78">
        <f t="shared" ca="1" si="7"/>
        <v>0</v>
      </c>
      <c r="R78">
        <f t="shared" ca="1" si="8"/>
        <v>1</v>
      </c>
      <c r="S78">
        <f t="shared" ca="1" si="9"/>
        <v>2</v>
      </c>
      <c r="T78" s="17">
        <f t="shared" ca="1" si="10"/>
        <v>6.1190476190476186</v>
      </c>
    </row>
    <row r="79" spans="2:20" x14ac:dyDescent="0.3">
      <c r="B79">
        <f t="shared" ca="1" si="1"/>
        <v>45</v>
      </c>
      <c r="C79" cm="1">
        <f t="array" aca="1" ref="C79" ca="1">INDIRECT(ADDRESS(myRAND(1,C$2,C$8:C$9)+5,C$1))</f>
        <v>1</v>
      </c>
      <c r="D79" cm="1">
        <f t="array" aca="1" ref="D79" ca="1">INDIRECT(ADDRESS(myRAND(1,D$2,D$8:D$9)+5,D$1))</f>
        <v>0</v>
      </c>
      <c r="E79" cm="1">
        <f t="array" aca="1" ref="E79" ca="1">INDIRECT(ADDRESS(myRAND(1,E$2,E$8:E$9)+5,E$1))</f>
        <v>1</v>
      </c>
      <c r="F79" cm="1">
        <f t="array" aca="1" ref="F79" ca="1">INDIRECT(ADDRESS(myRAND(1,F$2,F$8:F$9)+5,F$1))</f>
        <v>0</v>
      </c>
      <c r="G79" cm="1">
        <f t="array" aca="1" ref="G79" ca="1">INDIRECT(ADDRESS(myRAND(1,G$2,G$8:G$9)+5,G$1))</f>
        <v>0</v>
      </c>
      <c r="H79" cm="1">
        <f t="array" aca="1" ref="H79" ca="1">INDIRECT(ADDRESS(myRAND(1,H$2,H$8:H$9)+5,H$1))</f>
        <v>0</v>
      </c>
      <c r="I79" cm="1">
        <f t="array" aca="1" ref="I79" ca="1">INDIRECT(ADDRESS(myRAND(1,I$2,I$8:I$9)+5,I$1))</f>
        <v>0</v>
      </c>
      <c r="J79">
        <f t="shared" ca="1" si="0"/>
        <v>12</v>
      </c>
      <c r="K79">
        <f t="shared" ca="1" si="0"/>
        <v>231</v>
      </c>
      <c r="L79" s="3">
        <f t="shared" ca="1" si="2"/>
        <v>3</v>
      </c>
      <c r="M79" s="13">
        <f t="shared" ca="1" si="3"/>
        <v>0.22618142573054617</v>
      </c>
      <c r="N79">
        <f t="shared" ca="1" si="4"/>
        <v>-1.2300000000000002</v>
      </c>
      <c r="O79">
        <f t="shared" ca="1" si="5"/>
        <v>0</v>
      </c>
      <c r="P79">
        <f t="shared" ca="1" si="6"/>
        <v>0</v>
      </c>
      <c r="Q79">
        <f t="shared" ca="1" si="7"/>
        <v>1</v>
      </c>
      <c r="R79">
        <f t="shared" ca="1" si="8"/>
        <v>0</v>
      </c>
      <c r="S79">
        <f t="shared" ca="1" si="9"/>
        <v>0</v>
      </c>
      <c r="T79" s="17">
        <f t="shared" ca="1" si="10"/>
        <v>2.6738095238095241</v>
      </c>
    </row>
    <row r="80" spans="2:20" x14ac:dyDescent="0.3">
      <c r="B80">
        <f t="shared" ca="1" si="1"/>
        <v>41</v>
      </c>
      <c r="C80" cm="1">
        <f t="array" aca="1" ref="C80" ca="1">INDIRECT(ADDRESS(myRAND(1,C$2,C$8:C$9)+5,C$1))</f>
        <v>1</v>
      </c>
      <c r="D80" cm="1">
        <f t="array" aca="1" ref="D80" ca="1">INDIRECT(ADDRESS(myRAND(1,D$2,D$8:D$9)+5,D$1))</f>
        <v>0</v>
      </c>
      <c r="E80" cm="1">
        <f t="array" aca="1" ref="E80" ca="1">INDIRECT(ADDRESS(myRAND(1,E$2,E$8:E$9)+5,E$1))</f>
        <v>1</v>
      </c>
      <c r="F80" cm="1">
        <f t="array" aca="1" ref="F80" ca="1">INDIRECT(ADDRESS(myRAND(1,F$2,F$8:F$9)+5,F$1))</f>
        <v>1</v>
      </c>
      <c r="G80" cm="1">
        <f t="array" aca="1" ref="G80" ca="1">INDIRECT(ADDRESS(myRAND(1,G$2,G$8:G$9)+5,G$1))</f>
        <v>0</v>
      </c>
      <c r="H80" cm="1">
        <f t="array" aca="1" ref="H80" ca="1">INDIRECT(ADDRESS(myRAND(1,H$2,H$8:H$9)+5,H$1))</f>
        <v>0</v>
      </c>
      <c r="I80" cm="1">
        <f t="array" aca="1" ref="I80" ca="1">INDIRECT(ADDRESS(myRAND(1,I$2,I$8:I$9)+5,I$1))</f>
        <v>1</v>
      </c>
      <c r="J80">
        <f t="shared" ca="1" si="0"/>
        <v>18</v>
      </c>
      <c r="K80">
        <f t="shared" ca="1" si="0"/>
        <v>176</v>
      </c>
      <c r="L80" s="3">
        <f t="shared" ca="1" si="2"/>
        <v>2</v>
      </c>
      <c r="M80" s="13">
        <f t="shared" ca="1" si="3"/>
        <v>0.6248064744684293</v>
      </c>
      <c r="N80">
        <f t="shared" ca="1" si="4"/>
        <v>0.51</v>
      </c>
      <c r="O80">
        <f t="shared" ca="1" si="5"/>
        <v>0</v>
      </c>
      <c r="P80">
        <f t="shared" ca="1" si="6"/>
        <v>1</v>
      </c>
      <c r="Q80">
        <f t="shared" ca="1" si="7"/>
        <v>0</v>
      </c>
      <c r="R80">
        <f t="shared" ca="1" si="8"/>
        <v>0</v>
      </c>
      <c r="S80">
        <f t="shared" ca="1" si="9"/>
        <v>1</v>
      </c>
      <c r="T80" s="17">
        <f t="shared" ca="1" si="10"/>
        <v>5.7719047619047616</v>
      </c>
    </row>
    <row r="81" spans="2:20" x14ac:dyDescent="0.3">
      <c r="B81">
        <f t="shared" ref="B81:B144" ca="1" si="11">IF(ROUND(NORMINV(RAND(),B$6,B$7),0)&lt;B$8,B$8,ROUND(NORMINV(RAND(),B$6,B$7),0))</f>
        <v>50</v>
      </c>
      <c r="C81" cm="1">
        <f t="array" aca="1" ref="C81" ca="1">INDIRECT(ADDRESS(myRAND(1,C$2,C$8:C$9)+5,C$1))</f>
        <v>0</v>
      </c>
      <c r="D81" cm="1">
        <f t="array" aca="1" ref="D81" ca="1">INDIRECT(ADDRESS(myRAND(1,D$2,D$8:D$9)+5,D$1))</f>
        <v>1</v>
      </c>
      <c r="E81" cm="1">
        <f t="array" aca="1" ref="E81" ca="1">INDIRECT(ADDRESS(myRAND(1,E$2,E$8:E$9)+5,E$1))</f>
        <v>0</v>
      </c>
      <c r="F81" cm="1">
        <f t="array" aca="1" ref="F81" ca="1">INDIRECT(ADDRESS(myRAND(1,F$2,F$8:F$9)+5,F$1))</f>
        <v>1</v>
      </c>
      <c r="G81" cm="1">
        <f t="array" aca="1" ref="G81" ca="1">INDIRECT(ADDRESS(myRAND(1,G$2,G$8:G$9)+5,G$1))</f>
        <v>0</v>
      </c>
      <c r="H81" cm="1">
        <f t="array" aca="1" ref="H81" ca="1">INDIRECT(ADDRESS(myRAND(1,H$2,H$8:H$9)+5,H$1))</f>
        <v>0</v>
      </c>
      <c r="I81" cm="1">
        <f t="array" aca="1" ref="I81" ca="1">INDIRECT(ADDRESS(myRAND(1,I$2,I$8:I$9)+5,I$1))</f>
        <v>1</v>
      </c>
      <c r="J81">
        <f t="shared" ca="1" si="0"/>
        <v>18</v>
      </c>
      <c r="K81">
        <f t="shared" ca="1" si="0"/>
        <v>183</v>
      </c>
      <c r="L81" s="3">
        <f t="shared" ref="L81:L144" ca="1" si="12">IF(R81=0,IF(M81&lt;$M$11,1,IF(M81&lt;M77,2,3)),IF(AND(T81&lt;$M$8,S81&lt;$M$9),1,3))</f>
        <v>3</v>
      </c>
      <c r="M81" s="13">
        <f t="shared" ref="M81:M144" ca="1" si="13">1/(1+EXP(-N81))</f>
        <v>0.3846162436088178</v>
      </c>
      <c r="N81">
        <f t="shared" ref="N81:N144" ca="1" si="14">-4.37+0.04*B81+1.34 *C81+1.9 * P81+  0.64 *O81</f>
        <v>-0.4700000000000002</v>
      </c>
      <c r="O81">
        <f t="shared" ref="O81:O144" ca="1" si="15">IF(SUM(D81:F81)=3,1,0)</f>
        <v>0</v>
      </c>
      <c r="P81">
        <f t="shared" ref="P81:P144" ca="1" si="16">IF(SUM(D81:F81)=2,1,0)</f>
        <v>1</v>
      </c>
      <c r="Q81">
        <f t="shared" ref="Q81:Q144" ca="1" si="17">IF(SUM(D81:F81)=1,1,0)</f>
        <v>0</v>
      </c>
      <c r="R81">
        <f t="shared" ref="R81:R144" ca="1" si="18">IF(SUM(D81:G81)=0,1,0)</f>
        <v>0</v>
      </c>
      <c r="S81">
        <f t="shared" ref="S81:S144" ca="1" si="19">SUM(G81:I81)</f>
        <v>1</v>
      </c>
      <c r="T81" s="17">
        <f t="shared" ref="T81:T144" ca="1" si="20">(B81-20)/100 *$T$5 + C81*$T$6+(K81-100)/$K$6*$T$7+J81/$J$6*$T$8+I81*$T$9</f>
        <v>4.8952380952380956</v>
      </c>
    </row>
    <row r="82" spans="2:20" x14ac:dyDescent="0.3">
      <c r="B82">
        <f t="shared" ca="1" si="11"/>
        <v>56</v>
      </c>
      <c r="C82" cm="1">
        <f t="array" aca="1" ref="C82" ca="1">INDIRECT(ADDRESS(myRAND(1,C$2,C$8:C$9)+5,C$1))</f>
        <v>0</v>
      </c>
      <c r="D82" cm="1">
        <f t="array" aca="1" ref="D82" ca="1">INDIRECT(ADDRESS(myRAND(1,D$2,D$8:D$9)+5,D$1))</f>
        <v>0</v>
      </c>
      <c r="E82" cm="1">
        <f t="array" aca="1" ref="E82" ca="1">INDIRECT(ADDRESS(myRAND(1,E$2,E$8:E$9)+5,E$1))</f>
        <v>0</v>
      </c>
      <c r="F82" cm="1">
        <f t="array" aca="1" ref="F82" ca="1">INDIRECT(ADDRESS(myRAND(1,F$2,F$8:F$9)+5,F$1))</f>
        <v>1</v>
      </c>
      <c r="G82" cm="1">
        <f t="array" aca="1" ref="G82" ca="1">INDIRECT(ADDRESS(myRAND(1,G$2,G$8:G$9)+5,G$1))</f>
        <v>0</v>
      </c>
      <c r="H82" cm="1">
        <f t="array" aca="1" ref="H82" ca="1">INDIRECT(ADDRESS(myRAND(1,H$2,H$8:H$9)+5,H$1))</f>
        <v>0</v>
      </c>
      <c r="I82" cm="1">
        <f t="array" aca="1" ref="I82" ca="1">INDIRECT(ADDRESS(myRAND(1,I$2,I$8:I$9)+5,I$1))</f>
        <v>1</v>
      </c>
      <c r="J82">
        <f t="shared" ca="1" si="0"/>
        <v>17</v>
      </c>
      <c r="K82">
        <f t="shared" ca="1" si="0"/>
        <v>218</v>
      </c>
      <c r="L82" s="3">
        <f t="shared" ca="1" si="12"/>
        <v>1</v>
      </c>
      <c r="M82" s="13">
        <f t="shared" ca="1" si="13"/>
        <v>0.10621499167517556</v>
      </c>
      <c r="N82">
        <f t="shared" ca="1" si="14"/>
        <v>-2.13</v>
      </c>
      <c r="O82">
        <f t="shared" ca="1" si="15"/>
        <v>0</v>
      </c>
      <c r="P82">
        <f t="shared" ca="1" si="16"/>
        <v>0</v>
      </c>
      <c r="Q82">
        <f t="shared" ca="1" si="17"/>
        <v>1</v>
      </c>
      <c r="R82">
        <f t="shared" ca="1" si="18"/>
        <v>0</v>
      </c>
      <c r="S82">
        <f t="shared" ca="1" si="19"/>
        <v>1</v>
      </c>
      <c r="T82" s="17">
        <f t="shared" ca="1" si="20"/>
        <v>5.0552380952380958</v>
      </c>
    </row>
    <row r="83" spans="2:20" x14ac:dyDescent="0.3">
      <c r="B83">
        <f t="shared" ca="1" si="11"/>
        <v>41</v>
      </c>
      <c r="C83" cm="1">
        <f t="array" aca="1" ref="C83" ca="1">INDIRECT(ADDRESS(myRAND(1,C$2,C$8:C$9)+5,C$1))</f>
        <v>1</v>
      </c>
      <c r="D83" cm="1">
        <f t="array" aca="1" ref="D83" ca="1">INDIRECT(ADDRESS(myRAND(1,D$2,D$8:D$9)+5,D$1))</f>
        <v>0</v>
      </c>
      <c r="E83" cm="1">
        <f t="array" aca="1" ref="E83" ca="1">INDIRECT(ADDRESS(myRAND(1,E$2,E$8:E$9)+5,E$1))</f>
        <v>0</v>
      </c>
      <c r="F83" cm="1">
        <f t="array" aca="1" ref="F83" ca="1">INDIRECT(ADDRESS(myRAND(1,F$2,F$8:F$9)+5,F$1))</f>
        <v>1</v>
      </c>
      <c r="G83" cm="1">
        <f t="array" aca="1" ref="G83" ca="1">INDIRECT(ADDRESS(myRAND(1,G$2,G$8:G$9)+5,G$1))</f>
        <v>0</v>
      </c>
      <c r="H83" cm="1">
        <f t="array" aca="1" ref="H83" ca="1">INDIRECT(ADDRESS(myRAND(1,H$2,H$8:H$9)+5,H$1))</f>
        <v>1</v>
      </c>
      <c r="I83" cm="1">
        <f t="array" aca="1" ref="I83" ca="1">INDIRECT(ADDRESS(myRAND(1,I$2,I$8:I$9)+5,I$1))</f>
        <v>1</v>
      </c>
      <c r="J83">
        <f t="shared" ca="1" si="0"/>
        <v>18</v>
      </c>
      <c r="K83">
        <f t="shared" ca="1" si="0"/>
        <v>206</v>
      </c>
      <c r="L83" s="3">
        <f t="shared" ca="1" si="12"/>
        <v>2</v>
      </c>
      <c r="M83" s="13">
        <f t="shared" ca="1" si="13"/>
        <v>0.19940775684866852</v>
      </c>
      <c r="N83">
        <f t="shared" ca="1" si="14"/>
        <v>-1.39</v>
      </c>
      <c r="O83">
        <f t="shared" ca="1" si="15"/>
        <v>0</v>
      </c>
      <c r="P83">
        <f t="shared" ca="1" si="16"/>
        <v>0</v>
      </c>
      <c r="Q83">
        <f t="shared" ca="1" si="17"/>
        <v>1</v>
      </c>
      <c r="R83">
        <f t="shared" ca="1" si="18"/>
        <v>0</v>
      </c>
      <c r="S83">
        <f t="shared" ca="1" si="19"/>
        <v>2</v>
      </c>
      <c r="T83" s="17">
        <f t="shared" ca="1" si="20"/>
        <v>5.9147619047619049</v>
      </c>
    </row>
    <row r="84" spans="2:20" x14ac:dyDescent="0.3">
      <c r="B84">
        <f t="shared" ca="1" si="11"/>
        <v>39</v>
      </c>
      <c r="C84" cm="1">
        <f t="array" aca="1" ref="C84" ca="1">INDIRECT(ADDRESS(myRAND(1,C$2,C$8:C$9)+5,C$1))</f>
        <v>1</v>
      </c>
      <c r="D84" cm="1">
        <f t="array" aca="1" ref="D84" ca="1">INDIRECT(ADDRESS(myRAND(1,D$2,D$8:D$9)+5,D$1))</f>
        <v>0</v>
      </c>
      <c r="E84" cm="1">
        <f t="array" aca="1" ref="E84" ca="1">INDIRECT(ADDRESS(myRAND(1,E$2,E$8:E$9)+5,E$1))</f>
        <v>1</v>
      </c>
      <c r="F84" cm="1">
        <f t="array" aca="1" ref="F84" ca="1">INDIRECT(ADDRESS(myRAND(1,F$2,F$8:F$9)+5,F$1))</f>
        <v>0</v>
      </c>
      <c r="G84" cm="1">
        <f t="array" aca="1" ref="G84" ca="1">INDIRECT(ADDRESS(myRAND(1,G$2,G$8:G$9)+5,G$1))</f>
        <v>0</v>
      </c>
      <c r="H84" cm="1">
        <f t="array" aca="1" ref="H84" ca="1">INDIRECT(ADDRESS(myRAND(1,H$2,H$8:H$9)+5,H$1))</f>
        <v>0</v>
      </c>
      <c r="I84" cm="1">
        <f t="array" aca="1" ref="I84" ca="1">INDIRECT(ADDRESS(myRAND(1,I$2,I$8:I$9)+5,I$1))</f>
        <v>1</v>
      </c>
      <c r="J84">
        <f t="shared" ca="1" si="0"/>
        <v>17</v>
      </c>
      <c r="K84">
        <f t="shared" ca="1" si="0"/>
        <v>220</v>
      </c>
      <c r="L84" s="3">
        <f t="shared" ca="1" si="12"/>
        <v>2</v>
      </c>
      <c r="M84" s="13">
        <f t="shared" ca="1" si="13"/>
        <v>0.18694261396804635</v>
      </c>
      <c r="N84">
        <f t="shared" ca="1" si="14"/>
        <v>-1.47</v>
      </c>
      <c r="O84">
        <f t="shared" ca="1" si="15"/>
        <v>0</v>
      </c>
      <c r="P84">
        <f t="shared" ca="1" si="16"/>
        <v>0</v>
      </c>
      <c r="Q84">
        <f t="shared" ca="1" si="17"/>
        <v>1</v>
      </c>
      <c r="R84">
        <f t="shared" ca="1" si="18"/>
        <v>0</v>
      </c>
      <c r="S84">
        <f t="shared" ca="1" si="19"/>
        <v>1</v>
      </c>
      <c r="T84" s="17">
        <f t="shared" ca="1" si="20"/>
        <v>5.8947619047619044</v>
      </c>
    </row>
    <row r="85" spans="2:20" x14ac:dyDescent="0.3">
      <c r="B85">
        <f t="shared" ca="1" si="11"/>
        <v>59</v>
      </c>
      <c r="C85" cm="1">
        <f t="array" aca="1" ref="C85" ca="1">INDIRECT(ADDRESS(myRAND(1,C$2,C$8:C$9)+5,C$1))</f>
        <v>1</v>
      </c>
      <c r="D85" cm="1">
        <f t="array" aca="1" ref="D85" ca="1">INDIRECT(ADDRESS(myRAND(1,D$2,D$8:D$9)+5,D$1))</f>
        <v>0</v>
      </c>
      <c r="E85" cm="1">
        <f t="array" aca="1" ref="E85" ca="1">INDIRECT(ADDRESS(myRAND(1,E$2,E$8:E$9)+5,E$1))</f>
        <v>1</v>
      </c>
      <c r="F85" cm="1">
        <f t="array" aca="1" ref="F85" ca="1">INDIRECT(ADDRESS(myRAND(1,F$2,F$8:F$9)+5,F$1))</f>
        <v>1</v>
      </c>
      <c r="G85" cm="1">
        <f t="array" aca="1" ref="G85" ca="1">INDIRECT(ADDRESS(myRAND(1,G$2,G$8:G$9)+5,G$1))</f>
        <v>0</v>
      </c>
      <c r="H85" cm="1">
        <f t="array" aca="1" ref="H85" ca="1">INDIRECT(ADDRESS(myRAND(1,H$2,H$8:H$9)+5,H$1))</f>
        <v>0</v>
      </c>
      <c r="I85" cm="1">
        <f t="array" aca="1" ref="I85" ca="1">INDIRECT(ADDRESS(myRAND(1,I$2,I$8:I$9)+5,I$1))</f>
        <v>1</v>
      </c>
      <c r="J85">
        <f t="shared" ca="1" si="0"/>
        <v>16</v>
      </c>
      <c r="K85">
        <f t="shared" ca="1" si="0"/>
        <v>228</v>
      </c>
      <c r="L85" s="3">
        <f t="shared" ca="1" si="12"/>
        <v>3</v>
      </c>
      <c r="M85" s="13">
        <f t="shared" ca="1" si="13"/>
        <v>0.77381857426945377</v>
      </c>
      <c r="N85">
        <f t="shared" ca="1" si="14"/>
        <v>1.2299999999999998</v>
      </c>
      <c r="O85">
        <f t="shared" ca="1" si="15"/>
        <v>0</v>
      </c>
      <c r="P85">
        <f t="shared" ca="1" si="16"/>
        <v>1</v>
      </c>
      <c r="Q85">
        <f t="shared" ca="1" si="17"/>
        <v>0</v>
      </c>
      <c r="R85">
        <f t="shared" ca="1" si="18"/>
        <v>0</v>
      </c>
      <c r="S85">
        <f t="shared" ca="1" si="19"/>
        <v>1</v>
      </c>
      <c r="T85" s="17">
        <f t="shared" ca="1" si="20"/>
        <v>6.0661904761904761</v>
      </c>
    </row>
    <row r="86" spans="2:20" x14ac:dyDescent="0.3">
      <c r="B86">
        <f t="shared" ca="1" si="11"/>
        <v>49</v>
      </c>
      <c r="C86" cm="1">
        <f t="array" aca="1" ref="C86" ca="1">INDIRECT(ADDRESS(myRAND(1,C$2,C$8:C$9)+5,C$1))</f>
        <v>1</v>
      </c>
      <c r="D86" cm="1">
        <f t="array" aca="1" ref="D86" ca="1">INDIRECT(ADDRESS(myRAND(1,D$2,D$8:D$9)+5,D$1))</f>
        <v>0</v>
      </c>
      <c r="E86" cm="1">
        <f t="array" aca="1" ref="E86" ca="1">INDIRECT(ADDRESS(myRAND(1,E$2,E$8:E$9)+5,E$1))</f>
        <v>1</v>
      </c>
      <c r="F86" cm="1">
        <f t="array" aca="1" ref="F86" ca="1">INDIRECT(ADDRESS(myRAND(1,F$2,F$8:F$9)+5,F$1))</f>
        <v>0</v>
      </c>
      <c r="G86" cm="1">
        <f t="array" aca="1" ref="G86" ca="1">INDIRECT(ADDRESS(myRAND(1,G$2,G$8:G$9)+5,G$1))</f>
        <v>1</v>
      </c>
      <c r="H86" cm="1">
        <f t="array" aca="1" ref="H86" ca="1">INDIRECT(ADDRESS(myRAND(1,H$2,H$8:H$9)+5,H$1))</f>
        <v>0</v>
      </c>
      <c r="I86" cm="1">
        <f t="array" aca="1" ref="I86" ca="1">INDIRECT(ADDRESS(myRAND(1,I$2,I$8:I$9)+5,I$1))</f>
        <v>0</v>
      </c>
      <c r="J86">
        <f t="shared" ca="1" si="0"/>
        <v>11</v>
      </c>
      <c r="K86">
        <f t="shared" ca="1" si="0"/>
        <v>169</v>
      </c>
      <c r="L86" s="3">
        <f t="shared" ca="1" si="12"/>
        <v>3</v>
      </c>
      <c r="M86" s="13">
        <f t="shared" ca="1" si="13"/>
        <v>0.25540308417252405</v>
      </c>
      <c r="N86">
        <f t="shared" ca="1" si="14"/>
        <v>-1.07</v>
      </c>
      <c r="O86">
        <f t="shared" ca="1" si="15"/>
        <v>0</v>
      </c>
      <c r="P86">
        <f t="shared" ca="1" si="16"/>
        <v>0</v>
      </c>
      <c r="Q86">
        <f t="shared" ca="1" si="17"/>
        <v>1</v>
      </c>
      <c r="R86">
        <f t="shared" ca="1" si="18"/>
        <v>0</v>
      </c>
      <c r="S86">
        <f t="shared" ca="1" si="19"/>
        <v>1</v>
      </c>
      <c r="T86" s="17">
        <f t="shared" ca="1" si="20"/>
        <v>2.3519047619047617</v>
      </c>
    </row>
    <row r="87" spans="2:20" x14ac:dyDescent="0.3">
      <c r="B87">
        <f t="shared" ca="1" si="11"/>
        <v>60</v>
      </c>
      <c r="C87" cm="1">
        <f t="array" aca="1" ref="C87" ca="1">INDIRECT(ADDRESS(myRAND(1,C$2,C$8:C$9)+5,C$1))</f>
        <v>1</v>
      </c>
      <c r="D87" cm="1">
        <f t="array" aca="1" ref="D87" ca="1">INDIRECT(ADDRESS(myRAND(1,D$2,D$8:D$9)+5,D$1))</f>
        <v>1</v>
      </c>
      <c r="E87" cm="1">
        <f t="array" aca="1" ref="E87" ca="1">INDIRECT(ADDRESS(myRAND(1,E$2,E$8:E$9)+5,E$1))</f>
        <v>0</v>
      </c>
      <c r="F87" cm="1">
        <f t="array" aca="1" ref="F87" ca="1">INDIRECT(ADDRESS(myRAND(1,F$2,F$8:F$9)+5,F$1))</f>
        <v>1</v>
      </c>
      <c r="G87" cm="1">
        <f t="array" aca="1" ref="G87" ca="1">INDIRECT(ADDRESS(myRAND(1,G$2,G$8:G$9)+5,G$1))</f>
        <v>1</v>
      </c>
      <c r="H87" cm="1">
        <f t="array" aca="1" ref="H87" ca="1">INDIRECT(ADDRESS(myRAND(1,H$2,H$8:H$9)+5,H$1))</f>
        <v>0</v>
      </c>
      <c r="I87" cm="1">
        <f t="array" aca="1" ref="I87" ca="1">INDIRECT(ADDRESS(myRAND(1,I$2,I$8:I$9)+5,I$1))</f>
        <v>0</v>
      </c>
      <c r="J87">
        <f t="shared" ca="1" si="0"/>
        <v>13</v>
      </c>
      <c r="K87">
        <f t="shared" ca="1" si="0"/>
        <v>202</v>
      </c>
      <c r="L87" s="3">
        <f t="shared" ca="1" si="12"/>
        <v>3</v>
      </c>
      <c r="M87" s="13">
        <f t="shared" ca="1" si="13"/>
        <v>0.78074274791212817</v>
      </c>
      <c r="N87">
        <f t="shared" ca="1" si="14"/>
        <v>1.2699999999999998</v>
      </c>
      <c r="O87">
        <f t="shared" ca="1" si="15"/>
        <v>0</v>
      </c>
      <c r="P87">
        <f t="shared" ca="1" si="16"/>
        <v>1</v>
      </c>
      <c r="Q87">
        <f t="shared" ca="1" si="17"/>
        <v>0</v>
      </c>
      <c r="R87">
        <f t="shared" ca="1" si="18"/>
        <v>0</v>
      </c>
      <c r="S87">
        <f t="shared" ca="1" si="19"/>
        <v>1</v>
      </c>
      <c r="T87" s="17">
        <f t="shared" ca="1" si="20"/>
        <v>2.7523809523809524</v>
      </c>
    </row>
    <row r="88" spans="2:20" x14ac:dyDescent="0.3">
      <c r="B88">
        <f t="shared" ca="1" si="11"/>
        <v>70</v>
      </c>
      <c r="C88" cm="1">
        <f t="array" aca="1" ref="C88" ca="1">INDIRECT(ADDRESS(myRAND(1,C$2,C$8:C$9)+5,C$1))</f>
        <v>0</v>
      </c>
      <c r="D88" cm="1">
        <f t="array" aca="1" ref="D88" ca="1">INDIRECT(ADDRESS(myRAND(1,D$2,D$8:D$9)+5,D$1))</f>
        <v>0</v>
      </c>
      <c r="E88" cm="1">
        <f t="array" aca="1" ref="E88" ca="1">INDIRECT(ADDRESS(myRAND(1,E$2,E$8:E$9)+5,E$1))</f>
        <v>1</v>
      </c>
      <c r="F88" cm="1">
        <f t="array" aca="1" ref="F88" ca="1">INDIRECT(ADDRESS(myRAND(1,F$2,F$8:F$9)+5,F$1))</f>
        <v>0</v>
      </c>
      <c r="G88" cm="1">
        <f t="array" aca="1" ref="G88" ca="1">INDIRECT(ADDRESS(myRAND(1,G$2,G$8:G$9)+5,G$1))</f>
        <v>0</v>
      </c>
      <c r="H88" cm="1">
        <f t="array" aca="1" ref="H88" ca="1">INDIRECT(ADDRESS(myRAND(1,H$2,H$8:H$9)+5,H$1))</f>
        <v>0</v>
      </c>
      <c r="I88" cm="1">
        <f t="array" aca="1" ref="I88" ca="1">INDIRECT(ADDRESS(myRAND(1,I$2,I$8:I$9)+5,I$1))</f>
        <v>0</v>
      </c>
      <c r="J88">
        <f t="shared" ca="1" si="0"/>
        <v>19</v>
      </c>
      <c r="K88">
        <f t="shared" ca="1" si="0"/>
        <v>200</v>
      </c>
      <c r="L88" s="3">
        <f t="shared" ca="1" si="12"/>
        <v>2</v>
      </c>
      <c r="M88" s="13">
        <f t="shared" ca="1" si="13"/>
        <v>0.17221639173387782</v>
      </c>
      <c r="N88">
        <f t="shared" ca="1" si="14"/>
        <v>-1.5699999999999998</v>
      </c>
      <c r="O88">
        <f t="shared" ca="1" si="15"/>
        <v>0</v>
      </c>
      <c r="P88">
        <f t="shared" ca="1" si="16"/>
        <v>0</v>
      </c>
      <c r="Q88">
        <f t="shared" ca="1" si="17"/>
        <v>1</v>
      </c>
      <c r="R88">
        <f t="shared" ca="1" si="18"/>
        <v>0</v>
      </c>
      <c r="S88">
        <f t="shared" ca="1" si="19"/>
        <v>0</v>
      </c>
      <c r="T88" s="17">
        <f t="shared" ca="1" si="20"/>
        <v>2.2428571428571429</v>
      </c>
    </row>
    <row r="89" spans="2:20" x14ac:dyDescent="0.3">
      <c r="B89">
        <f t="shared" ca="1" si="11"/>
        <v>52</v>
      </c>
      <c r="C89" cm="1">
        <f t="array" aca="1" ref="C89" ca="1">INDIRECT(ADDRESS(myRAND(1,C$2,C$8:C$9)+5,C$1))</f>
        <v>1</v>
      </c>
      <c r="D89" cm="1">
        <f t="array" aca="1" ref="D89" ca="1">INDIRECT(ADDRESS(myRAND(1,D$2,D$8:D$9)+5,D$1))</f>
        <v>0</v>
      </c>
      <c r="E89" cm="1">
        <f t="array" aca="1" ref="E89" ca="1">INDIRECT(ADDRESS(myRAND(1,E$2,E$8:E$9)+5,E$1))</f>
        <v>0</v>
      </c>
      <c r="F89" cm="1">
        <f t="array" aca="1" ref="F89" ca="1">INDIRECT(ADDRESS(myRAND(1,F$2,F$8:F$9)+5,F$1))</f>
        <v>1</v>
      </c>
      <c r="G89" cm="1">
        <f t="array" aca="1" ref="G89" ca="1">INDIRECT(ADDRESS(myRAND(1,G$2,G$8:G$9)+5,G$1))</f>
        <v>0</v>
      </c>
      <c r="H89" cm="1">
        <f t="array" aca="1" ref="H89" ca="1">INDIRECT(ADDRESS(myRAND(1,H$2,H$8:H$9)+5,H$1))</f>
        <v>1</v>
      </c>
      <c r="I89" cm="1">
        <f t="array" aca="1" ref="I89" ca="1">INDIRECT(ADDRESS(myRAND(1,I$2,I$8:I$9)+5,I$1))</f>
        <v>0</v>
      </c>
      <c r="J89">
        <f t="shared" ca="1" si="0"/>
        <v>8</v>
      </c>
      <c r="K89">
        <f t="shared" ca="1" si="0"/>
        <v>208</v>
      </c>
      <c r="L89" s="3">
        <f t="shared" ca="1" si="12"/>
        <v>2</v>
      </c>
      <c r="M89" s="13">
        <f t="shared" ca="1" si="13"/>
        <v>0.27888482197713693</v>
      </c>
      <c r="N89">
        <f t="shared" ca="1" si="14"/>
        <v>-0.95</v>
      </c>
      <c r="O89">
        <f t="shared" ca="1" si="15"/>
        <v>0</v>
      </c>
      <c r="P89">
        <f t="shared" ca="1" si="16"/>
        <v>0</v>
      </c>
      <c r="Q89">
        <f t="shared" ca="1" si="17"/>
        <v>1</v>
      </c>
      <c r="R89">
        <f t="shared" ca="1" si="18"/>
        <v>0</v>
      </c>
      <c r="S89">
        <f t="shared" ca="1" si="19"/>
        <v>1</v>
      </c>
      <c r="T89" s="17">
        <f t="shared" ca="1" si="20"/>
        <v>2.3676190476190477</v>
      </c>
    </row>
    <row r="90" spans="2:20" x14ac:dyDescent="0.3">
      <c r="B90">
        <f t="shared" ca="1" si="11"/>
        <v>46</v>
      </c>
      <c r="C90" cm="1">
        <f t="array" aca="1" ref="C90" ca="1">INDIRECT(ADDRESS(myRAND(1,C$2,C$8:C$9)+5,C$1))</f>
        <v>1</v>
      </c>
      <c r="D90" cm="1">
        <f t="array" aca="1" ref="D90" ca="1">INDIRECT(ADDRESS(myRAND(1,D$2,D$8:D$9)+5,D$1))</f>
        <v>0</v>
      </c>
      <c r="E90" cm="1">
        <f t="array" aca="1" ref="E90" ca="1">INDIRECT(ADDRESS(myRAND(1,E$2,E$8:E$9)+5,E$1))</f>
        <v>0</v>
      </c>
      <c r="F90" cm="1">
        <f t="array" aca="1" ref="F90" ca="1">INDIRECT(ADDRESS(myRAND(1,F$2,F$8:F$9)+5,F$1))</f>
        <v>1</v>
      </c>
      <c r="G90" cm="1">
        <f t="array" aca="1" ref="G90" ca="1">INDIRECT(ADDRESS(myRAND(1,G$2,G$8:G$9)+5,G$1))</f>
        <v>1</v>
      </c>
      <c r="H90" cm="1">
        <f t="array" aca="1" ref="H90" ca="1">INDIRECT(ADDRESS(myRAND(1,H$2,H$8:H$9)+5,H$1))</f>
        <v>0</v>
      </c>
      <c r="I90" cm="1">
        <f t="array" aca="1" ref="I90" ca="1">INDIRECT(ADDRESS(myRAND(1,I$2,I$8:I$9)+5,I$1))</f>
        <v>1</v>
      </c>
      <c r="J90">
        <f t="shared" ca="1" si="0"/>
        <v>12</v>
      </c>
      <c r="K90">
        <f t="shared" ca="1" si="0"/>
        <v>231</v>
      </c>
      <c r="L90" s="3">
        <f t="shared" ca="1" si="12"/>
        <v>2</v>
      </c>
      <c r="M90" s="13">
        <f t="shared" ca="1" si="13"/>
        <v>0.23325893577145715</v>
      </c>
      <c r="N90">
        <f t="shared" ca="1" si="14"/>
        <v>-1.1900000000000002</v>
      </c>
      <c r="O90">
        <f t="shared" ca="1" si="15"/>
        <v>0</v>
      </c>
      <c r="P90">
        <f t="shared" ca="1" si="16"/>
        <v>0</v>
      </c>
      <c r="Q90">
        <f t="shared" ca="1" si="17"/>
        <v>1</v>
      </c>
      <c r="R90">
        <f t="shared" ca="1" si="18"/>
        <v>0</v>
      </c>
      <c r="S90">
        <f t="shared" ca="1" si="19"/>
        <v>2</v>
      </c>
      <c r="T90" s="17">
        <f t="shared" ca="1" si="20"/>
        <v>5.6838095238095239</v>
      </c>
    </row>
    <row r="91" spans="2:20" x14ac:dyDescent="0.3">
      <c r="B91">
        <f t="shared" ca="1" si="11"/>
        <v>51</v>
      </c>
      <c r="C91" cm="1">
        <f t="array" aca="1" ref="C91" ca="1">INDIRECT(ADDRESS(myRAND(1,C$2,C$8:C$9)+5,C$1))</f>
        <v>1</v>
      </c>
      <c r="D91" cm="1">
        <f t="array" aca="1" ref="D91" ca="1">INDIRECT(ADDRESS(myRAND(1,D$2,D$8:D$9)+5,D$1))</f>
        <v>0</v>
      </c>
      <c r="E91" cm="1">
        <f t="array" aca="1" ref="E91" ca="1">INDIRECT(ADDRESS(myRAND(1,E$2,E$8:E$9)+5,E$1))</f>
        <v>1</v>
      </c>
      <c r="F91" cm="1">
        <f t="array" aca="1" ref="F91" ca="1">INDIRECT(ADDRESS(myRAND(1,F$2,F$8:F$9)+5,F$1))</f>
        <v>0</v>
      </c>
      <c r="G91" cm="1">
        <f t="array" aca="1" ref="G91" ca="1">INDIRECT(ADDRESS(myRAND(1,G$2,G$8:G$9)+5,G$1))</f>
        <v>0</v>
      </c>
      <c r="H91" cm="1">
        <f t="array" aca="1" ref="H91" ca="1">INDIRECT(ADDRESS(myRAND(1,H$2,H$8:H$9)+5,H$1))</f>
        <v>0</v>
      </c>
      <c r="I91" cm="1">
        <f t="array" aca="1" ref="I91" ca="1">INDIRECT(ADDRESS(myRAND(1,I$2,I$8:I$9)+5,I$1))</f>
        <v>1</v>
      </c>
      <c r="J91">
        <f t="shared" ca="1" si="0"/>
        <v>16</v>
      </c>
      <c r="K91">
        <f t="shared" ca="1" si="0"/>
        <v>232</v>
      </c>
      <c r="L91" s="3">
        <f t="shared" ca="1" si="12"/>
        <v>2</v>
      </c>
      <c r="M91" s="13">
        <f t="shared" ca="1" si="13"/>
        <v>0.27091207765069353</v>
      </c>
      <c r="N91">
        <f t="shared" ca="1" si="14"/>
        <v>-0.99</v>
      </c>
      <c r="O91">
        <f t="shared" ca="1" si="15"/>
        <v>0</v>
      </c>
      <c r="P91">
        <f t="shared" ca="1" si="16"/>
        <v>0</v>
      </c>
      <c r="Q91">
        <f t="shared" ca="1" si="17"/>
        <v>1</v>
      </c>
      <c r="R91">
        <f t="shared" ca="1" si="18"/>
        <v>0</v>
      </c>
      <c r="S91">
        <f t="shared" ca="1" si="19"/>
        <v>1</v>
      </c>
      <c r="T91" s="17">
        <f t="shared" ca="1" si="20"/>
        <v>6.005238095238095</v>
      </c>
    </row>
    <row r="92" spans="2:20" x14ac:dyDescent="0.3">
      <c r="B92">
        <f t="shared" ca="1" si="11"/>
        <v>44</v>
      </c>
      <c r="C92" cm="1">
        <f t="array" aca="1" ref="C92" ca="1">INDIRECT(ADDRESS(myRAND(1,C$2,C$8:C$9)+5,C$1))</f>
        <v>0</v>
      </c>
      <c r="D92" cm="1">
        <f t="array" aca="1" ref="D92" ca="1">INDIRECT(ADDRESS(myRAND(1,D$2,D$8:D$9)+5,D$1))</f>
        <v>0</v>
      </c>
      <c r="E92" cm="1">
        <f t="array" aca="1" ref="E92" ca="1">INDIRECT(ADDRESS(myRAND(1,E$2,E$8:E$9)+5,E$1))</f>
        <v>0</v>
      </c>
      <c r="F92" cm="1">
        <f t="array" aca="1" ref="F92" ca="1">INDIRECT(ADDRESS(myRAND(1,F$2,F$8:F$9)+5,F$1))</f>
        <v>0</v>
      </c>
      <c r="G92" cm="1">
        <f t="array" aca="1" ref="G92" ca="1">INDIRECT(ADDRESS(myRAND(1,G$2,G$8:G$9)+5,G$1))</f>
        <v>0</v>
      </c>
      <c r="H92" cm="1">
        <f t="array" aca="1" ref="H92" ca="1">INDIRECT(ADDRESS(myRAND(1,H$2,H$8:H$9)+5,H$1))</f>
        <v>0</v>
      </c>
      <c r="I92" cm="1">
        <f t="array" aca="1" ref="I92" ca="1">INDIRECT(ADDRESS(myRAND(1,I$2,I$8:I$9)+5,I$1))</f>
        <v>1</v>
      </c>
      <c r="J92">
        <f t="shared" ca="1" si="0"/>
        <v>13</v>
      </c>
      <c r="K92">
        <f t="shared" ca="1" si="0"/>
        <v>184</v>
      </c>
      <c r="L92" s="3">
        <f t="shared" ca="1" si="12"/>
        <v>3</v>
      </c>
      <c r="M92" s="13">
        <f t="shared" ca="1" si="13"/>
        <v>6.8497603724326075E-2</v>
      </c>
      <c r="N92">
        <f t="shared" ca="1" si="14"/>
        <v>-2.6100000000000003</v>
      </c>
      <c r="O92">
        <f t="shared" ca="1" si="15"/>
        <v>0</v>
      </c>
      <c r="P92">
        <f t="shared" ca="1" si="16"/>
        <v>0</v>
      </c>
      <c r="Q92">
        <f t="shared" ca="1" si="17"/>
        <v>0</v>
      </c>
      <c r="R92">
        <f t="shared" ca="1" si="18"/>
        <v>1</v>
      </c>
      <c r="S92">
        <f t="shared" ca="1" si="19"/>
        <v>1</v>
      </c>
      <c r="T92" s="17">
        <f t="shared" ca="1" si="20"/>
        <v>4.5066666666666668</v>
      </c>
    </row>
    <row r="93" spans="2:20" x14ac:dyDescent="0.3">
      <c r="B93">
        <f t="shared" ca="1" si="11"/>
        <v>66</v>
      </c>
      <c r="C93" cm="1">
        <f t="array" aca="1" ref="C93" ca="1">INDIRECT(ADDRESS(myRAND(1,C$2,C$8:C$9)+5,C$1))</f>
        <v>0</v>
      </c>
      <c r="D93" cm="1">
        <f t="array" aca="1" ref="D93" ca="1">INDIRECT(ADDRESS(myRAND(1,D$2,D$8:D$9)+5,D$1))</f>
        <v>0</v>
      </c>
      <c r="E93" cm="1">
        <f t="array" aca="1" ref="E93" ca="1">INDIRECT(ADDRESS(myRAND(1,E$2,E$8:E$9)+5,E$1))</f>
        <v>1</v>
      </c>
      <c r="F93" cm="1">
        <f t="array" aca="1" ref="F93" ca="1">INDIRECT(ADDRESS(myRAND(1,F$2,F$8:F$9)+5,F$1))</f>
        <v>1</v>
      </c>
      <c r="G93" cm="1">
        <f t="array" aca="1" ref="G93" ca="1">INDIRECT(ADDRESS(myRAND(1,G$2,G$8:G$9)+5,G$1))</f>
        <v>0</v>
      </c>
      <c r="H93" cm="1">
        <f t="array" aca="1" ref="H93" ca="1">INDIRECT(ADDRESS(myRAND(1,H$2,H$8:H$9)+5,H$1))</f>
        <v>0</v>
      </c>
      <c r="I93" cm="1">
        <f t="array" aca="1" ref="I93" ca="1">INDIRECT(ADDRESS(myRAND(1,I$2,I$8:I$9)+5,I$1))</f>
        <v>1</v>
      </c>
      <c r="J93">
        <f t="shared" ca="1" si="0"/>
        <v>13</v>
      </c>
      <c r="K93">
        <f t="shared" ca="1" si="0"/>
        <v>235</v>
      </c>
      <c r="L93" s="3">
        <f t="shared" ca="1" si="12"/>
        <v>3</v>
      </c>
      <c r="M93" s="13">
        <f t="shared" ca="1" si="13"/>
        <v>0.542397940774351</v>
      </c>
      <c r="N93">
        <f t="shared" ca="1" si="14"/>
        <v>0.16999999999999993</v>
      </c>
      <c r="O93">
        <f t="shared" ca="1" si="15"/>
        <v>0</v>
      </c>
      <c r="P93">
        <f t="shared" ca="1" si="16"/>
        <v>1</v>
      </c>
      <c r="Q93">
        <f t="shared" ca="1" si="17"/>
        <v>0</v>
      </c>
      <c r="R93">
        <f t="shared" ca="1" si="18"/>
        <v>0</v>
      </c>
      <c r="S93">
        <f t="shared" ca="1" si="19"/>
        <v>1</v>
      </c>
      <c r="T93" s="17">
        <f t="shared" ca="1" si="20"/>
        <v>4.9695238095238095</v>
      </c>
    </row>
    <row r="94" spans="2:20" x14ac:dyDescent="0.3">
      <c r="B94">
        <f t="shared" ca="1" si="11"/>
        <v>69</v>
      </c>
      <c r="C94" cm="1">
        <f t="array" aca="1" ref="C94" ca="1">INDIRECT(ADDRESS(myRAND(1,C$2,C$8:C$9)+5,C$1))</f>
        <v>1</v>
      </c>
      <c r="D94" cm="1">
        <f t="array" aca="1" ref="D94" ca="1">INDIRECT(ADDRESS(myRAND(1,D$2,D$8:D$9)+5,D$1))</f>
        <v>0</v>
      </c>
      <c r="E94" cm="1">
        <f t="array" aca="1" ref="E94" ca="1">INDIRECT(ADDRESS(myRAND(1,E$2,E$8:E$9)+5,E$1))</f>
        <v>1</v>
      </c>
      <c r="F94" cm="1">
        <f t="array" aca="1" ref="F94" ca="1">INDIRECT(ADDRESS(myRAND(1,F$2,F$8:F$9)+5,F$1))</f>
        <v>1</v>
      </c>
      <c r="G94" cm="1">
        <f t="array" aca="1" ref="G94" ca="1">INDIRECT(ADDRESS(myRAND(1,G$2,G$8:G$9)+5,G$1))</f>
        <v>0</v>
      </c>
      <c r="H94" cm="1">
        <f t="array" aca="1" ref="H94" ca="1">INDIRECT(ADDRESS(myRAND(1,H$2,H$8:H$9)+5,H$1))</f>
        <v>0</v>
      </c>
      <c r="I94" cm="1">
        <f t="array" aca="1" ref="I94" ca="1">INDIRECT(ADDRESS(myRAND(1,I$2,I$8:I$9)+5,I$1))</f>
        <v>1</v>
      </c>
      <c r="J94">
        <f t="shared" ca="1" si="0"/>
        <v>15</v>
      </c>
      <c r="K94">
        <f t="shared" ca="1" si="0"/>
        <v>203</v>
      </c>
      <c r="L94" s="3">
        <f t="shared" ca="1" si="12"/>
        <v>3</v>
      </c>
      <c r="M94" s="13">
        <f t="shared" ca="1" si="13"/>
        <v>0.83616963877664108</v>
      </c>
      <c r="N94">
        <f t="shared" ca="1" si="14"/>
        <v>1.6300000000000001</v>
      </c>
      <c r="O94">
        <f t="shared" ca="1" si="15"/>
        <v>0</v>
      </c>
      <c r="P94">
        <f t="shared" ca="1" si="16"/>
        <v>1</v>
      </c>
      <c r="Q94">
        <f t="shared" ca="1" si="17"/>
        <v>0</v>
      </c>
      <c r="R94">
        <f t="shared" ca="1" si="18"/>
        <v>0</v>
      </c>
      <c r="S94">
        <f t="shared" ca="1" si="19"/>
        <v>1</v>
      </c>
      <c r="T94" s="17">
        <f t="shared" ca="1" si="20"/>
        <v>5.9804761904761907</v>
      </c>
    </row>
    <row r="95" spans="2:20" x14ac:dyDescent="0.3">
      <c r="B95">
        <f t="shared" ca="1" si="11"/>
        <v>52</v>
      </c>
      <c r="C95" cm="1">
        <f t="array" aca="1" ref="C95" ca="1">INDIRECT(ADDRESS(myRAND(1,C$2,C$8:C$9)+5,C$1))</f>
        <v>1</v>
      </c>
      <c r="D95" cm="1">
        <f t="array" aca="1" ref="D95" ca="1">INDIRECT(ADDRESS(myRAND(1,D$2,D$8:D$9)+5,D$1))</f>
        <v>1</v>
      </c>
      <c r="E95" cm="1">
        <f t="array" aca="1" ref="E95" ca="1">INDIRECT(ADDRESS(myRAND(1,E$2,E$8:E$9)+5,E$1))</f>
        <v>0</v>
      </c>
      <c r="F95" cm="1">
        <f t="array" aca="1" ref="F95" ca="1">INDIRECT(ADDRESS(myRAND(1,F$2,F$8:F$9)+5,F$1))</f>
        <v>1</v>
      </c>
      <c r="G95" cm="1">
        <f t="array" aca="1" ref="G95" ca="1">INDIRECT(ADDRESS(myRAND(1,G$2,G$8:G$9)+5,G$1))</f>
        <v>0</v>
      </c>
      <c r="H95" cm="1">
        <f t="array" aca="1" ref="H95" ca="1">INDIRECT(ADDRESS(myRAND(1,H$2,H$8:H$9)+5,H$1))</f>
        <v>0</v>
      </c>
      <c r="I95" cm="1">
        <f t="array" aca="1" ref="I95" ca="1">INDIRECT(ADDRESS(myRAND(1,I$2,I$8:I$9)+5,I$1))</f>
        <v>0</v>
      </c>
      <c r="J95">
        <f t="shared" ca="1" si="0"/>
        <v>13</v>
      </c>
      <c r="K95">
        <f t="shared" ca="1" si="0"/>
        <v>205</v>
      </c>
      <c r="L95" s="3">
        <f t="shared" ca="1" si="12"/>
        <v>3</v>
      </c>
      <c r="M95" s="13">
        <f t="shared" ca="1" si="13"/>
        <v>0.72111517802286307</v>
      </c>
      <c r="N95">
        <f t="shared" ca="1" si="14"/>
        <v>0.95</v>
      </c>
      <c r="O95">
        <f t="shared" ca="1" si="15"/>
        <v>0</v>
      </c>
      <c r="P95">
        <f t="shared" ca="1" si="16"/>
        <v>1</v>
      </c>
      <c r="Q95">
        <f t="shared" ca="1" si="17"/>
        <v>0</v>
      </c>
      <c r="R95">
        <f t="shared" ca="1" si="18"/>
        <v>0</v>
      </c>
      <c r="S95">
        <f t="shared" ca="1" si="19"/>
        <v>0</v>
      </c>
      <c r="T95" s="17">
        <f t="shared" ca="1" si="20"/>
        <v>2.6866666666666665</v>
      </c>
    </row>
    <row r="96" spans="2:20" x14ac:dyDescent="0.3">
      <c r="B96">
        <f t="shared" ca="1" si="11"/>
        <v>57</v>
      </c>
      <c r="C96" cm="1">
        <f t="array" aca="1" ref="C96" ca="1">INDIRECT(ADDRESS(myRAND(1,C$2,C$8:C$9)+5,C$1))</f>
        <v>0</v>
      </c>
      <c r="D96" cm="1">
        <f t="array" aca="1" ref="D96" ca="1">INDIRECT(ADDRESS(myRAND(1,D$2,D$8:D$9)+5,D$1))</f>
        <v>0</v>
      </c>
      <c r="E96" cm="1">
        <f t="array" aca="1" ref="E96" ca="1">INDIRECT(ADDRESS(myRAND(1,E$2,E$8:E$9)+5,E$1))</f>
        <v>1</v>
      </c>
      <c r="F96" cm="1">
        <f t="array" aca="1" ref="F96" ca="1">INDIRECT(ADDRESS(myRAND(1,F$2,F$8:F$9)+5,F$1))</f>
        <v>1</v>
      </c>
      <c r="G96" cm="1">
        <f t="array" aca="1" ref="G96" ca="1">INDIRECT(ADDRESS(myRAND(1,G$2,G$8:G$9)+5,G$1))</f>
        <v>1</v>
      </c>
      <c r="H96" cm="1">
        <f t="array" aca="1" ref="H96" ca="1">INDIRECT(ADDRESS(myRAND(1,H$2,H$8:H$9)+5,H$1))</f>
        <v>0</v>
      </c>
      <c r="I96" cm="1">
        <f t="array" aca="1" ref="I96" ca="1">INDIRECT(ADDRESS(myRAND(1,I$2,I$8:I$9)+5,I$1))</f>
        <v>1</v>
      </c>
      <c r="J96">
        <f t="shared" ca="1" si="0"/>
        <v>14</v>
      </c>
      <c r="K96">
        <f t="shared" ca="1" si="0"/>
        <v>238</v>
      </c>
      <c r="L96" s="3">
        <f t="shared" ca="1" si="12"/>
        <v>3</v>
      </c>
      <c r="M96" s="13">
        <f t="shared" ca="1" si="13"/>
        <v>0.45264238185691075</v>
      </c>
      <c r="N96">
        <f t="shared" ca="1" si="14"/>
        <v>-0.18999999999999995</v>
      </c>
      <c r="O96">
        <f t="shared" ca="1" si="15"/>
        <v>0</v>
      </c>
      <c r="P96">
        <f t="shared" ca="1" si="16"/>
        <v>1</v>
      </c>
      <c r="Q96">
        <f t="shared" ca="1" si="17"/>
        <v>0</v>
      </c>
      <c r="R96">
        <f t="shared" ca="1" si="18"/>
        <v>0</v>
      </c>
      <c r="S96">
        <f t="shared" ca="1" si="19"/>
        <v>2</v>
      </c>
      <c r="T96" s="17">
        <f t="shared" ca="1" si="20"/>
        <v>4.9604761904761903</v>
      </c>
    </row>
    <row r="97" spans="2:20" x14ac:dyDescent="0.3">
      <c r="B97">
        <f t="shared" ca="1" si="11"/>
        <v>39</v>
      </c>
      <c r="C97" cm="1">
        <f t="array" aca="1" ref="C97" ca="1">INDIRECT(ADDRESS(myRAND(1,C$2,C$8:C$9)+5,C$1))</f>
        <v>1</v>
      </c>
      <c r="D97" cm="1">
        <f t="array" aca="1" ref="D97" ca="1">INDIRECT(ADDRESS(myRAND(1,D$2,D$8:D$9)+5,D$1))</f>
        <v>1</v>
      </c>
      <c r="E97" cm="1">
        <f t="array" aca="1" ref="E97" ca="1">INDIRECT(ADDRESS(myRAND(1,E$2,E$8:E$9)+5,E$1))</f>
        <v>0</v>
      </c>
      <c r="F97" cm="1">
        <f t="array" aca="1" ref="F97" ca="1">INDIRECT(ADDRESS(myRAND(1,F$2,F$8:F$9)+5,F$1))</f>
        <v>1</v>
      </c>
      <c r="G97" cm="1">
        <f t="array" aca="1" ref="G97" ca="1">INDIRECT(ADDRESS(myRAND(1,G$2,G$8:G$9)+5,G$1))</f>
        <v>0</v>
      </c>
      <c r="H97" cm="1">
        <f t="array" aca="1" ref="H97" ca="1">INDIRECT(ADDRESS(myRAND(1,H$2,H$8:H$9)+5,H$1))</f>
        <v>0</v>
      </c>
      <c r="I97" cm="1">
        <f t="array" aca="1" ref="I97" ca="1">INDIRECT(ADDRESS(myRAND(1,I$2,I$8:I$9)+5,I$1))</f>
        <v>0</v>
      </c>
      <c r="J97">
        <f t="shared" ca="1" si="0"/>
        <v>13</v>
      </c>
      <c r="K97">
        <f t="shared" ca="1" si="0"/>
        <v>196</v>
      </c>
      <c r="L97" s="3">
        <f t="shared" ca="1" si="12"/>
        <v>3</v>
      </c>
      <c r="M97" s="13">
        <f t="shared" ca="1" si="13"/>
        <v>0.60587366843176049</v>
      </c>
      <c r="N97">
        <f t="shared" ca="1" si="14"/>
        <v>0.42999999999999994</v>
      </c>
      <c r="O97">
        <f t="shared" ca="1" si="15"/>
        <v>0</v>
      </c>
      <c r="P97">
        <f t="shared" ca="1" si="16"/>
        <v>1</v>
      </c>
      <c r="Q97">
        <f t="shared" ca="1" si="17"/>
        <v>0</v>
      </c>
      <c r="R97">
        <f t="shared" ca="1" si="18"/>
        <v>0</v>
      </c>
      <c r="S97">
        <f t="shared" ca="1" si="19"/>
        <v>0</v>
      </c>
      <c r="T97" s="17">
        <f t="shared" ca="1" si="20"/>
        <v>2.5138095238095239</v>
      </c>
    </row>
    <row r="98" spans="2:20" x14ac:dyDescent="0.3">
      <c r="B98">
        <f t="shared" ca="1" si="11"/>
        <v>55</v>
      </c>
      <c r="C98" cm="1">
        <f t="array" aca="1" ref="C98" ca="1">INDIRECT(ADDRESS(myRAND(1,C$2,C$8:C$9)+5,C$1))</f>
        <v>0</v>
      </c>
      <c r="D98" cm="1">
        <f t="array" aca="1" ref="D98" ca="1">INDIRECT(ADDRESS(myRAND(1,D$2,D$8:D$9)+5,D$1))</f>
        <v>0</v>
      </c>
      <c r="E98" cm="1">
        <f t="array" aca="1" ref="E98" ca="1">INDIRECT(ADDRESS(myRAND(1,E$2,E$8:E$9)+5,E$1))</f>
        <v>0</v>
      </c>
      <c r="F98" cm="1">
        <f t="array" aca="1" ref="F98" ca="1">INDIRECT(ADDRESS(myRAND(1,F$2,F$8:F$9)+5,F$1))</f>
        <v>0</v>
      </c>
      <c r="G98" cm="1">
        <f t="array" aca="1" ref="G98" ca="1">INDIRECT(ADDRESS(myRAND(1,G$2,G$8:G$9)+5,G$1))</f>
        <v>1</v>
      </c>
      <c r="H98" cm="1">
        <f t="array" aca="1" ref="H98" ca="1">INDIRECT(ADDRESS(myRAND(1,H$2,H$8:H$9)+5,H$1))</f>
        <v>0</v>
      </c>
      <c r="I98" cm="1">
        <f t="array" aca="1" ref="I98" ca="1">INDIRECT(ADDRESS(myRAND(1,I$2,I$8:I$9)+5,I$1))</f>
        <v>0</v>
      </c>
      <c r="J98">
        <f t="shared" ca="1" si="0"/>
        <v>18</v>
      </c>
      <c r="K98">
        <f t="shared" ca="1" si="0"/>
        <v>184</v>
      </c>
      <c r="L98" s="3">
        <f t="shared" ca="1" si="12"/>
        <v>1</v>
      </c>
      <c r="M98" s="13">
        <f t="shared" ca="1" si="13"/>
        <v>0.10247703344409737</v>
      </c>
      <c r="N98">
        <f t="shared" ca="1" si="14"/>
        <v>-2.17</v>
      </c>
      <c r="O98">
        <f t="shared" ca="1" si="15"/>
        <v>0</v>
      </c>
      <c r="P98">
        <f t="shared" ca="1" si="16"/>
        <v>0</v>
      </c>
      <c r="Q98">
        <f t="shared" ca="1" si="17"/>
        <v>0</v>
      </c>
      <c r="R98">
        <f t="shared" ca="1" si="18"/>
        <v>0</v>
      </c>
      <c r="S98">
        <f t="shared" ca="1" si="19"/>
        <v>1</v>
      </c>
      <c r="T98" s="17">
        <f t="shared" ca="1" si="20"/>
        <v>1.95</v>
      </c>
    </row>
    <row r="99" spans="2:20" x14ac:dyDescent="0.3">
      <c r="B99">
        <f t="shared" ca="1" si="11"/>
        <v>53</v>
      </c>
      <c r="C99" cm="1">
        <f t="array" aca="1" ref="C99" ca="1">INDIRECT(ADDRESS(myRAND(1,C$2,C$8:C$9)+5,C$1))</f>
        <v>1</v>
      </c>
      <c r="D99" cm="1">
        <f t="array" aca="1" ref="D99" ca="1">INDIRECT(ADDRESS(myRAND(1,D$2,D$8:D$9)+5,D$1))</f>
        <v>1</v>
      </c>
      <c r="E99" cm="1">
        <f t="array" aca="1" ref="E99" ca="1">INDIRECT(ADDRESS(myRAND(1,E$2,E$8:E$9)+5,E$1))</f>
        <v>0</v>
      </c>
      <c r="F99" cm="1">
        <f t="array" aca="1" ref="F99" ca="1">INDIRECT(ADDRESS(myRAND(1,F$2,F$8:F$9)+5,F$1))</f>
        <v>1</v>
      </c>
      <c r="G99" cm="1">
        <f t="array" aca="1" ref="G99" ca="1">INDIRECT(ADDRESS(myRAND(1,G$2,G$8:G$9)+5,G$1))</f>
        <v>1</v>
      </c>
      <c r="H99" cm="1">
        <f t="array" aca="1" ref="H99" ca="1">INDIRECT(ADDRESS(myRAND(1,H$2,H$8:H$9)+5,H$1))</f>
        <v>1</v>
      </c>
      <c r="I99" cm="1">
        <f t="array" aca="1" ref="I99" ca="1">INDIRECT(ADDRESS(myRAND(1,I$2,I$8:I$9)+5,I$1))</f>
        <v>1</v>
      </c>
      <c r="J99">
        <f t="shared" ca="1" si="0"/>
        <v>18</v>
      </c>
      <c r="K99">
        <f t="shared" ca="1" si="0"/>
        <v>202</v>
      </c>
      <c r="L99" s="3">
        <f t="shared" ca="1" si="12"/>
        <v>3</v>
      </c>
      <c r="M99" s="13">
        <f t="shared" ca="1" si="13"/>
        <v>0.72908792234930653</v>
      </c>
      <c r="N99">
        <f t="shared" ca="1" si="14"/>
        <v>0.99</v>
      </c>
      <c r="O99">
        <f t="shared" ca="1" si="15"/>
        <v>0</v>
      </c>
      <c r="P99">
        <f t="shared" ca="1" si="16"/>
        <v>1</v>
      </c>
      <c r="Q99">
        <f t="shared" ca="1" si="17"/>
        <v>0</v>
      </c>
      <c r="R99">
        <f t="shared" ca="1" si="18"/>
        <v>0</v>
      </c>
      <c r="S99">
        <f t="shared" ca="1" si="19"/>
        <v>3</v>
      </c>
      <c r="T99" s="17">
        <f t="shared" ca="1" si="20"/>
        <v>6.015714285714286</v>
      </c>
    </row>
    <row r="100" spans="2:20" x14ac:dyDescent="0.3">
      <c r="B100">
        <f t="shared" ca="1" si="11"/>
        <v>54</v>
      </c>
      <c r="C100" cm="1">
        <f t="array" aca="1" ref="C100" ca="1">INDIRECT(ADDRESS(myRAND(1,C$2,C$8:C$9)+5,C$1))</f>
        <v>0</v>
      </c>
      <c r="D100" cm="1">
        <f t="array" aca="1" ref="D100" ca="1">INDIRECT(ADDRESS(myRAND(1,D$2,D$8:D$9)+5,D$1))</f>
        <v>0</v>
      </c>
      <c r="E100" cm="1">
        <f t="array" aca="1" ref="E100" ca="1">INDIRECT(ADDRESS(myRAND(1,E$2,E$8:E$9)+5,E$1))</f>
        <v>1</v>
      </c>
      <c r="F100" cm="1">
        <f t="array" aca="1" ref="F100" ca="1">INDIRECT(ADDRESS(myRAND(1,F$2,F$8:F$9)+5,F$1))</f>
        <v>0</v>
      </c>
      <c r="G100" cm="1">
        <f t="array" aca="1" ref="G100" ca="1">INDIRECT(ADDRESS(myRAND(1,G$2,G$8:G$9)+5,G$1))</f>
        <v>0</v>
      </c>
      <c r="H100" cm="1">
        <f t="array" aca="1" ref="H100" ca="1">INDIRECT(ADDRESS(myRAND(1,H$2,H$8:H$9)+5,H$1))</f>
        <v>0</v>
      </c>
      <c r="I100" cm="1">
        <f t="array" aca="1" ref="I100" ca="1">INDIRECT(ADDRESS(myRAND(1,I$2,I$8:I$9)+5,I$1))</f>
        <v>1</v>
      </c>
      <c r="J100">
        <f t="shared" ca="1" si="0"/>
        <v>15</v>
      </c>
      <c r="K100">
        <f t="shared" ca="1" si="0"/>
        <v>235</v>
      </c>
      <c r="L100" s="3">
        <f t="shared" ca="1" si="12"/>
        <v>1</v>
      </c>
      <c r="M100" s="13">
        <f t="shared" ca="1" si="13"/>
        <v>9.8856073178169385E-2</v>
      </c>
      <c r="N100">
        <f t="shared" ca="1" si="14"/>
        <v>-2.21</v>
      </c>
      <c r="O100">
        <f t="shared" ca="1" si="15"/>
        <v>0</v>
      </c>
      <c r="P100">
        <f t="shared" ca="1" si="16"/>
        <v>0</v>
      </c>
      <c r="Q100">
        <f t="shared" ca="1" si="17"/>
        <v>1</v>
      </c>
      <c r="R100">
        <f t="shared" ca="1" si="18"/>
        <v>0</v>
      </c>
      <c r="S100">
        <f t="shared" ca="1" si="19"/>
        <v>1</v>
      </c>
      <c r="T100" s="17">
        <f t="shared" ca="1" si="20"/>
        <v>4.9828571428571431</v>
      </c>
    </row>
    <row r="101" spans="2:20" x14ac:dyDescent="0.3">
      <c r="B101">
        <f t="shared" ca="1" si="11"/>
        <v>53</v>
      </c>
      <c r="C101" cm="1">
        <f t="array" aca="1" ref="C101" ca="1">INDIRECT(ADDRESS(myRAND(1,C$2,C$8:C$9)+5,C$1))</f>
        <v>0</v>
      </c>
      <c r="D101" cm="1">
        <f t="array" aca="1" ref="D101" ca="1">INDIRECT(ADDRESS(myRAND(1,D$2,D$8:D$9)+5,D$1))</f>
        <v>1</v>
      </c>
      <c r="E101" cm="1">
        <f t="array" aca="1" ref="E101" ca="1">INDIRECT(ADDRESS(myRAND(1,E$2,E$8:E$9)+5,E$1))</f>
        <v>1</v>
      </c>
      <c r="F101" cm="1">
        <f t="array" aca="1" ref="F101" ca="1">INDIRECT(ADDRESS(myRAND(1,F$2,F$8:F$9)+5,F$1))</f>
        <v>0</v>
      </c>
      <c r="G101" cm="1">
        <f t="array" aca="1" ref="G101" ca="1">INDIRECT(ADDRESS(myRAND(1,G$2,G$8:G$9)+5,G$1))</f>
        <v>0</v>
      </c>
      <c r="H101" cm="1">
        <f t="array" aca="1" ref="H101" ca="1">INDIRECT(ADDRESS(myRAND(1,H$2,H$8:H$9)+5,H$1))</f>
        <v>0</v>
      </c>
      <c r="I101" cm="1">
        <f t="array" aca="1" ref="I101" ca="1">INDIRECT(ADDRESS(myRAND(1,I$2,I$8:I$9)+5,I$1))</f>
        <v>0</v>
      </c>
      <c r="J101">
        <f t="shared" ca="1" si="0"/>
        <v>12</v>
      </c>
      <c r="K101">
        <f t="shared" ca="1" si="0"/>
        <v>188</v>
      </c>
      <c r="L101" s="3">
        <f t="shared" ca="1" si="12"/>
        <v>2</v>
      </c>
      <c r="M101" s="13">
        <f t="shared" ca="1" si="13"/>
        <v>0.41338242108266998</v>
      </c>
      <c r="N101">
        <f t="shared" ca="1" si="14"/>
        <v>-0.35000000000000009</v>
      </c>
      <c r="O101">
        <f t="shared" ca="1" si="15"/>
        <v>0</v>
      </c>
      <c r="P101">
        <f t="shared" ca="1" si="16"/>
        <v>1</v>
      </c>
      <c r="Q101">
        <f t="shared" ca="1" si="17"/>
        <v>0</v>
      </c>
      <c r="R101">
        <f t="shared" ca="1" si="18"/>
        <v>0</v>
      </c>
      <c r="S101">
        <f t="shared" ca="1" si="19"/>
        <v>0</v>
      </c>
      <c r="T101" s="17">
        <f t="shared" ca="1" si="20"/>
        <v>1.5490476190476192</v>
      </c>
    </row>
    <row r="102" spans="2:20" x14ac:dyDescent="0.3">
      <c r="B102">
        <f t="shared" ca="1" si="11"/>
        <v>34</v>
      </c>
      <c r="C102" cm="1">
        <f t="array" aca="1" ref="C102" ca="1">INDIRECT(ADDRESS(myRAND(1,C$2,C$8:C$9)+5,C$1))</f>
        <v>1</v>
      </c>
      <c r="D102" cm="1">
        <f t="array" aca="1" ref="D102" ca="1">INDIRECT(ADDRESS(myRAND(1,D$2,D$8:D$9)+5,D$1))</f>
        <v>1</v>
      </c>
      <c r="E102" cm="1">
        <f t="array" aca="1" ref="E102" ca="1">INDIRECT(ADDRESS(myRAND(1,E$2,E$8:E$9)+5,E$1))</f>
        <v>1</v>
      </c>
      <c r="F102" cm="1">
        <f t="array" aca="1" ref="F102" ca="1">INDIRECT(ADDRESS(myRAND(1,F$2,F$8:F$9)+5,F$1))</f>
        <v>1</v>
      </c>
      <c r="G102" cm="1">
        <f t="array" aca="1" ref="G102" ca="1">INDIRECT(ADDRESS(myRAND(1,G$2,G$8:G$9)+5,G$1))</f>
        <v>0</v>
      </c>
      <c r="H102" cm="1">
        <f t="array" aca="1" ref="H102" ca="1">INDIRECT(ADDRESS(myRAND(1,H$2,H$8:H$9)+5,H$1))</f>
        <v>1</v>
      </c>
      <c r="I102" cm="1">
        <f t="array" aca="1" ref="I102" ca="1">INDIRECT(ADDRESS(myRAND(1,I$2,I$8:I$9)+5,I$1))</f>
        <v>1</v>
      </c>
      <c r="J102">
        <f t="shared" ca="1" si="0"/>
        <v>15</v>
      </c>
      <c r="K102">
        <f t="shared" ca="1" si="0"/>
        <v>215</v>
      </c>
      <c r="L102" s="3">
        <f t="shared" ca="1" si="12"/>
        <v>3</v>
      </c>
      <c r="M102" s="13">
        <f t="shared" ca="1" si="13"/>
        <v>0.26308410416657979</v>
      </c>
      <c r="N102">
        <f t="shared" ca="1" si="14"/>
        <v>-1.0299999999999998</v>
      </c>
      <c r="O102">
        <f t="shared" ca="1" si="15"/>
        <v>1</v>
      </c>
      <c r="P102">
        <f t="shared" ca="1" si="16"/>
        <v>0</v>
      </c>
      <c r="Q102">
        <f t="shared" ca="1" si="17"/>
        <v>0</v>
      </c>
      <c r="R102">
        <f t="shared" ca="1" si="18"/>
        <v>0</v>
      </c>
      <c r="S102">
        <f t="shared" ca="1" si="19"/>
        <v>2</v>
      </c>
      <c r="T102" s="17">
        <f t="shared" ca="1" si="20"/>
        <v>5.687619047619048</v>
      </c>
    </row>
    <row r="103" spans="2:20" x14ac:dyDescent="0.3">
      <c r="B103">
        <f t="shared" ca="1" si="11"/>
        <v>50</v>
      </c>
      <c r="C103" cm="1">
        <f t="array" aca="1" ref="C103" ca="1">INDIRECT(ADDRESS(myRAND(1,C$2,C$8:C$9)+5,C$1))</f>
        <v>0</v>
      </c>
      <c r="D103" cm="1">
        <f t="array" aca="1" ref="D103" ca="1">INDIRECT(ADDRESS(myRAND(1,D$2,D$8:D$9)+5,D$1))</f>
        <v>1</v>
      </c>
      <c r="E103" cm="1">
        <f t="array" aca="1" ref="E103" ca="1">INDIRECT(ADDRESS(myRAND(1,E$2,E$8:E$9)+5,E$1))</f>
        <v>0</v>
      </c>
      <c r="F103" cm="1">
        <f t="array" aca="1" ref="F103" ca="1">INDIRECT(ADDRESS(myRAND(1,F$2,F$8:F$9)+5,F$1))</f>
        <v>0</v>
      </c>
      <c r="G103" cm="1">
        <f t="array" aca="1" ref="G103" ca="1">INDIRECT(ADDRESS(myRAND(1,G$2,G$8:G$9)+5,G$1))</f>
        <v>0</v>
      </c>
      <c r="H103" cm="1">
        <f t="array" aca="1" ref="H103" ca="1">INDIRECT(ADDRESS(myRAND(1,H$2,H$8:H$9)+5,H$1))</f>
        <v>1</v>
      </c>
      <c r="I103" cm="1">
        <f t="array" aca="1" ref="I103" ca="1">INDIRECT(ADDRESS(myRAND(1,I$2,I$8:I$9)+5,I$1))</f>
        <v>0</v>
      </c>
      <c r="J103">
        <f t="shared" ca="1" si="0"/>
        <v>14</v>
      </c>
      <c r="K103">
        <f t="shared" ca="1" si="0"/>
        <v>271</v>
      </c>
      <c r="L103" s="3">
        <f t="shared" ca="1" si="12"/>
        <v>1</v>
      </c>
      <c r="M103" s="13">
        <f t="shared" ca="1" si="13"/>
        <v>8.5489139434806544E-2</v>
      </c>
      <c r="N103">
        <f t="shared" ca="1" si="14"/>
        <v>-2.37</v>
      </c>
      <c r="O103">
        <f t="shared" ca="1" si="15"/>
        <v>0</v>
      </c>
      <c r="P103">
        <f t="shared" ca="1" si="16"/>
        <v>0</v>
      </c>
      <c r="Q103">
        <f t="shared" ca="1" si="17"/>
        <v>1</v>
      </c>
      <c r="R103">
        <f t="shared" ca="1" si="18"/>
        <v>0</v>
      </c>
      <c r="S103">
        <f t="shared" ca="1" si="19"/>
        <v>1</v>
      </c>
      <c r="T103" s="17">
        <f t="shared" ca="1" si="20"/>
        <v>2.0476190476190474</v>
      </c>
    </row>
    <row r="104" spans="2:20" x14ac:dyDescent="0.3">
      <c r="B104">
        <f t="shared" ca="1" si="11"/>
        <v>57</v>
      </c>
      <c r="C104" cm="1">
        <f t="array" aca="1" ref="C104" ca="1">INDIRECT(ADDRESS(myRAND(1,C$2,C$8:C$9)+5,C$1))</f>
        <v>1</v>
      </c>
      <c r="D104" cm="1">
        <f t="array" aca="1" ref="D104" ca="1">INDIRECT(ADDRESS(myRAND(1,D$2,D$8:D$9)+5,D$1))</f>
        <v>1</v>
      </c>
      <c r="E104" cm="1">
        <f t="array" aca="1" ref="E104" ca="1">INDIRECT(ADDRESS(myRAND(1,E$2,E$8:E$9)+5,E$1))</f>
        <v>0</v>
      </c>
      <c r="F104" cm="1">
        <f t="array" aca="1" ref="F104" ca="1">INDIRECT(ADDRESS(myRAND(1,F$2,F$8:F$9)+5,F$1))</f>
        <v>1</v>
      </c>
      <c r="G104" cm="1">
        <f t="array" aca="1" ref="G104" ca="1">INDIRECT(ADDRESS(myRAND(1,G$2,G$8:G$9)+5,G$1))</f>
        <v>1</v>
      </c>
      <c r="H104" cm="1">
        <f t="array" aca="1" ref="H104" ca="1">INDIRECT(ADDRESS(myRAND(1,H$2,H$8:H$9)+5,H$1))</f>
        <v>0</v>
      </c>
      <c r="I104" cm="1">
        <f t="array" aca="1" ref="I104" ca="1">INDIRECT(ADDRESS(myRAND(1,I$2,I$8:I$9)+5,I$1))</f>
        <v>0</v>
      </c>
      <c r="J104">
        <f t="shared" ca="1" si="0"/>
        <v>14</v>
      </c>
      <c r="K104">
        <f t="shared" ca="1" si="0"/>
        <v>172</v>
      </c>
      <c r="L104" s="3">
        <f t="shared" ca="1" si="12"/>
        <v>3</v>
      </c>
      <c r="M104" s="13">
        <f t="shared" ca="1" si="13"/>
        <v>0.75951091694911099</v>
      </c>
      <c r="N104">
        <f t="shared" ca="1" si="14"/>
        <v>1.1500000000000001</v>
      </c>
      <c r="O104">
        <f t="shared" ca="1" si="15"/>
        <v>0</v>
      </c>
      <c r="P104">
        <f t="shared" ca="1" si="16"/>
        <v>1</v>
      </c>
      <c r="Q104">
        <f t="shared" ca="1" si="17"/>
        <v>0</v>
      </c>
      <c r="R104">
        <f t="shared" ca="1" si="18"/>
        <v>0</v>
      </c>
      <c r="S104">
        <f t="shared" ca="1" si="19"/>
        <v>1</v>
      </c>
      <c r="T104" s="17">
        <f t="shared" ca="1" si="20"/>
        <v>2.6461904761904762</v>
      </c>
    </row>
    <row r="105" spans="2:20" x14ac:dyDescent="0.3">
      <c r="B105">
        <f t="shared" ca="1" si="11"/>
        <v>71</v>
      </c>
      <c r="C105" cm="1">
        <f t="array" aca="1" ref="C105" ca="1">INDIRECT(ADDRESS(myRAND(1,C$2,C$8:C$9)+5,C$1))</f>
        <v>1</v>
      </c>
      <c r="D105" cm="1">
        <f t="array" aca="1" ref="D105" ca="1">INDIRECT(ADDRESS(myRAND(1,D$2,D$8:D$9)+5,D$1))</f>
        <v>1</v>
      </c>
      <c r="E105" cm="1">
        <f t="array" aca="1" ref="E105" ca="1">INDIRECT(ADDRESS(myRAND(1,E$2,E$8:E$9)+5,E$1))</f>
        <v>0</v>
      </c>
      <c r="F105" cm="1">
        <f t="array" aca="1" ref="F105" ca="1">INDIRECT(ADDRESS(myRAND(1,F$2,F$8:F$9)+5,F$1))</f>
        <v>1</v>
      </c>
      <c r="G105" cm="1">
        <f t="array" aca="1" ref="G105" ca="1">INDIRECT(ADDRESS(myRAND(1,G$2,G$8:G$9)+5,G$1))</f>
        <v>1</v>
      </c>
      <c r="H105" cm="1">
        <f t="array" aca="1" ref="H105" ca="1">INDIRECT(ADDRESS(myRAND(1,H$2,H$8:H$9)+5,H$1))</f>
        <v>0</v>
      </c>
      <c r="I105" cm="1">
        <f t="array" aca="1" ref="I105" ca="1">INDIRECT(ADDRESS(myRAND(1,I$2,I$8:I$9)+5,I$1))</f>
        <v>1</v>
      </c>
      <c r="J105">
        <f t="shared" ca="1" si="0"/>
        <v>18</v>
      </c>
      <c r="K105">
        <f t="shared" ca="1" si="0"/>
        <v>215</v>
      </c>
      <c r="L105" s="3">
        <f t="shared" ca="1" si="12"/>
        <v>3</v>
      </c>
      <c r="M105" s="13">
        <f t="shared" ca="1" si="13"/>
        <v>0.84683628423491375</v>
      </c>
      <c r="N105">
        <f t="shared" ca="1" si="14"/>
        <v>1.7099999999999997</v>
      </c>
      <c r="O105">
        <f t="shared" ca="1" si="15"/>
        <v>0</v>
      </c>
      <c r="P105">
        <f t="shared" ca="1" si="16"/>
        <v>1</v>
      </c>
      <c r="Q105">
        <f t="shared" ca="1" si="17"/>
        <v>0</v>
      </c>
      <c r="R105">
        <f t="shared" ca="1" si="18"/>
        <v>0</v>
      </c>
      <c r="S105">
        <f t="shared" ca="1" si="19"/>
        <v>2</v>
      </c>
      <c r="T105" s="17">
        <f t="shared" ca="1" si="20"/>
        <v>6.2576190476190474</v>
      </c>
    </row>
    <row r="106" spans="2:20" x14ac:dyDescent="0.3">
      <c r="B106">
        <f t="shared" ca="1" si="11"/>
        <v>60</v>
      </c>
      <c r="C106" cm="1">
        <f t="array" aca="1" ref="C106" ca="1">INDIRECT(ADDRESS(myRAND(1,C$2,C$8:C$9)+5,C$1))</f>
        <v>0</v>
      </c>
      <c r="D106" cm="1">
        <f t="array" aca="1" ref="D106" ca="1">INDIRECT(ADDRESS(myRAND(1,D$2,D$8:D$9)+5,D$1))</f>
        <v>0</v>
      </c>
      <c r="E106" cm="1">
        <f t="array" aca="1" ref="E106" ca="1">INDIRECT(ADDRESS(myRAND(1,E$2,E$8:E$9)+5,E$1))</f>
        <v>0</v>
      </c>
      <c r="F106" cm="1">
        <f t="array" aca="1" ref="F106" ca="1">INDIRECT(ADDRESS(myRAND(1,F$2,F$8:F$9)+5,F$1))</f>
        <v>0</v>
      </c>
      <c r="G106" cm="1">
        <f t="array" aca="1" ref="G106" ca="1">INDIRECT(ADDRESS(myRAND(1,G$2,G$8:G$9)+5,G$1))</f>
        <v>0</v>
      </c>
      <c r="H106" cm="1">
        <f t="array" aca="1" ref="H106" ca="1">INDIRECT(ADDRESS(myRAND(1,H$2,H$8:H$9)+5,H$1))</f>
        <v>0</v>
      </c>
      <c r="I106" cm="1">
        <f t="array" aca="1" ref="I106" ca="1">INDIRECT(ADDRESS(myRAND(1,I$2,I$8:I$9)+5,I$1))</f>
        <v>0</v>
      </c>
      <c r="J106">
        <f t="shared" ca="1" si="0"/>
        <v>17</v>
      </c>
      <c r="K106">
        <f t="shared" ca="1" si="0"/>
        <v>180</v>
      </c>
      <c r="L106" s="3">
        <f t="shared" ca="1" si="12"/>
        <v>1</v>
      </c>
      <c r="M106" s="13">
        <f t="shared" ca="1" si="13"/>
        <v>0.12238888682304884</v>
      </c>
      <c r="N106">
        <f t="shared" ca="1" si="14"/>
        <v>-1.9700000000000002</v>
      </c>
      <c r="O106">
        <f t="shared" ca="1" si="15"/>
        <v>0</v>
      </c>
      <c r="P106">
        <f t="shared" ca="1" si="16"/>
        <v>0</v>
      </c>
      <c r="Q106">
        <f t="shared" ca="1" si="17"/>
        <v>0</v>
      </c>
      <c r="R106">
        <f t="shared" ca="1" si="18"/>
        <v>1</v>
      </c>
      <c r="S106">
        <f t="shared" ca="1" si="19"/>
        <v>0</v>
      </c>
      <c r="T106" s="17">
        <f t="shared" ca="1" si="20"/>
        <v>1.9142857142857141</v>
      </c>
    </row>
    <row r="107" spans="2:20" x14ac:dyDescent="0.3">
      <c r="B107">
        <f t="shared" ca="1" si="11"/>
        <v>55</v>
      </c>
      <c r="C107" cm="1">
        <f t="array" aca="1" ref="C107" ca="1">INDIRECT(ADDRESS(myRAND(1,C$2,C$8:C$9)+5,C$1))</f>
        <v>1</v>
      </c>
      <c r="D107" cm="1">
        <f t="array" aca="1" ref="D107" ca="1">INDIRECT(ADDRESS(myRAND(1,D$2,D$8:D$9)+5,D$1))</f>
        <v>1</v>
      </c>
      <c r="E107" cm="1">
        <f t="array" aca="1" ref="E107" ca="1">INDIRECT(ADDRESS(myRAND(1,E$2,E$8:E$9)+5,E$1))</f>
        <v>1</v>
      </c>
      <c r="F107" cm="1">
        <f t="array" aca="1" ref="F107" ca="1">INDIRECT(ADDRESS(myRAND(1,F$2,F$8:F$9)+5,F$1))</f>
        <v>1</v>
      </c>
      <c r="G107" cm="1">
        <f t="array" aca="1" ref="G107" ca="1">INDIRECT(ADDRESS(myRAND(1,G$2,G$8:G$9)+5,G$1))</f>
        <v>1</v>
      </c>
      <c r="H107" cm="1">
        <f t="array" aca="1" ref="H107" ca="1">INDIRECT(ADDRESS(myRAND(1,H$2,H$8:H$9)+5,H$1))</f>
        <v>1</v>
      </c>
      <c r="I107" cm="1">
        <f t="array" aca="1" ref="I107" ca="1">INDIRECT(ADDRESS(myRAND(1,I$2,I$8:I$9)+5,I$1))</f>
        <v>1</v>
      </c>
      <c r="J107">
        <f t="shared" ca="1" si="0"/>
        <v>16</v>
      </c>
      <c r="K107">
        <f t="shared" ca="1" si="0"/>
        <v>220</v>
      </c>
      <c r="L107" s="3">
        <f t="shared" ca="1" si="12"/>
        <v>3</v>
      </c>
      <c r="M107" s="13">
        <f t="shared" ca="1" si="13"/>
        <v>0.45264238185691075</v>
      </c>
      <c r="N107">
        <f t="shared" ca="1" si="14"/>
        <v>-0.18999999999999984</v>
      </c>
      <c r="O107">
        <f t="shared" ca="1" si="15"/>
        <v>1</v>
      </c>
      <c r="P107">
        <f t="shared" ca="1" si="16"/>
        <v>0</v>
      </c>
      <c r="Q107">
        <f t="shared" ca="1" si="17"/>
        <v>0</v>
      </c>
      <c r="R107">
        <f t="shared" ca="1" si="18"/>
        <v>0</v>
      </c>
      <c r="S107">
        <f t="shared" ca="1" si="19"/>
        <v>3</v>
      </c>
      <c r="T107" s="17">
        <f t="shared" ca="1" si="20"/>
        <v>5.9880952380952381</v>
      </c>
    </row>
    <row r="108" spans="2:20" x14ac:dyDescent="0.3">
      <c r="B108">
        <f t="shared" ca="1" si="11"/>
        <v>59</v>
      </c>
      <c r="C108" cm="1">
        <f t="array" aca="1" ref="C108" ca="1">INDIRECT(ADDRESS(myRAND(1,C$2,C$8:C$9)+5,C$1))</f>
        <v>1</v>
      </c>
      <c r="D108" cm="1">
        <f t="array" aca="1" ref="D108" ca="1">INDIRECT(ADDRESS(myRAND(1,D$2,D$8:D$9)+5,D$1))</f>
        <v>0</v>
      </c>
      <c r="E108" cm="1">
        <f t="array" aca="1" ref="E108" ca="1">INDIRECT(ADDRESS(myRAND(1,E$2,E$8:E$9)+5,E$1))</f>
        <v>1</v>
      </c>
      <c r="F108" cm="1">
        <f t="array" aca="1" ref="F108" ca="1">INDIRECT(ADDRESS(myRAND(1,F$2,F$8:F$9)+5,F$1))</f>
        <v>0</v>
      </c>
      <c r="G108" cm="1">
        <f t="array" aca="1" ref="G108" ca="1">INDIRECT(ADDRESS(myRAND(1,G$2,G$8:G$9)+5,G$1))</f>
        <v>0</v>
      </c>
      <c r="H108" cm="1">
        <f t="array" aca="1" ref="H108" ca="1">INDIRECT(ADDRESS(myRAND(1,H$2,H$8:H$9)+5,H$1))</f>
        <v>0</v>
      </c>
      <c r="I108" cm="1">
        <f t="array" aca="1" ref="I108" ca="1">INDIRECT(ADDRESS(myRAND(1,I$2,I$8:I$9)+5,I$1))</f>
        <v>1</v>
      </c>
      <c r="J108">
        <f t="shared" ca="1" si="0"/>
        <v>14</v>
      </c>
      <c r="K108">
        <f t="shared" ca="1" si="0"/>
        <v>228</v>
      </c>
      <c r="L108" s="3">
        <f t="shared" ca="1" si="12"/>
        <v>2</v>
      </c>
      <c r="M108" s="13">
        <f t="shared" ca="1" si="13"/>
        <v>0.3384968407970475</v>
      </c>
      <c r="N108">
        <f t="shared" ca="1" si="14"/>
        <v>-0.67000000000000015</v>
      </c>
      <c r="O108">
        <f t="shared" ca="1" si="15"/>
        <v>0</v>
      </c>
      <c r="P108">
        <f t="shared" ca="1" si="16"/>
        <v>0</v>
      </c>
      <c r="Q108">
        <f t="shared" ca="1" si="17"/>
        <v>1</v>
      </c>
      <c r="R108">
        <f t="shared" ca="1" si="18"/>
        <v>0</v>
      </c>
      <c r="S108">
        <f t="shared" ca="1" si="19"/>
        <v>1</v>
      </c>
      <c r="T108" s="17">
        <f t="shared" ca="1" si="20"/>
        <v>5.9328571428571433</v>
      </c>
    </row>
    <row r="109" spans="2:20" x14ac:dyDescent="0.3">
      <c r="B109">
        <f t="shared" ca="1" si="11"/>
        <v>58</v>
      </c>
      <c r="C109" cm="1">
        <f t="array" aca="1" ref="C109" ca="1">INDIRECT(ADDRESS(myRAND(1,C$2,C$8:C$9)+5,C$1))</f>
        <v>0</v>
      </c>
      <c r="D109" cm="1">
        <f t="array" aca="1" ref="D109" ca="1">INDIRECT(ADDRESS(myRAND(1,D$2,D$8:D$9)+5,D$1))</f>
        <v>0</v>
      </c>
      <c r="E109" cm="1">
        <f t="array" aca="1" ref="E109" ca="1">INDIRECT(ADDRESS(myRAND(1,E$2,E$8:E$9)+5,E$1))</f>
        <v>0</v>
      </c>
      <c r="F109" cm="1">
        <f t="array" aca="1" ref="F109" ca="1">INDIRECT(ADDRESS(myRAND(1,F$2,F$8:F$9)+5,F$1))</f>
        <v>0</v>
      </c>
      <c r="G109" cm="1">
        <f t="array" aca="1" ref="G109" ca="1">INDIRECT(ADDRESS(myRAND(1,G$2,G$8:G$9)+5,G$1))</f>
        <v>1</v>
      </c>
      <c r="H109" cm="1">
        <f t="array" aca="1" ref="H109" ca="1">INDIRECT(ADDRESS(myRAND(1,H$2,H$8:H$9)+5,H$1))</f>
        <v>0</v>
      </c>
      <c r="I109" cm="1">
        <f t="array" aca="1" ref="I109" ca="1">INDIRECT(ADDRESS(myRAND(1,I$2,I$8:I$9)+5,I$1))</f>
        <v>0</v>
      </c>
      <c r="J109">
        <f t="shared" ca="1" si="0"/>
        <v>12</v>
      </c>
      <c r="K109">
        <f t="shared" ca="1" si="0"/>
        <v>194</v>
      </c>
      <c r="L109" s="3">
        <f t="shared" ca="1" si="12"/>
        <v>1</v>
      </c>
      <c r="M109" s="13">
        <f t="shared" ca="1" si="13"/>
        <v>0.11405238127979084</v>
      </c>
      <c r="N109">
        <f t="shared" ca="1" si="14"/>
        <v>-2.0500000000000003</v>
      </c>
      <c r="O109">
        <f t="shared" ca="1" si="15"/>
        <v>0</v>
      </c>
      <c r="P109">
        <f t="shared" ca="1" si="16"/>
        <v>0</v>
      </c>
      <c r="Q109">
        <f t="shared" ca="1" si="17"/>
        <v>0</v>
      </c>
      <c r="R109">
        <f t="shared" ca="1" si="18"/>
        <v>0</v>
      </c>
      <c r="S109">
        <f t="shared" ca="1" si="19"/>
        <v>1</v>
      </c>
      <c r="T109" s="17">
        <f t="shared" ca="1" si="20"/>
        <v>1.6276190476190477</v>
      </c>
    </row>
    <row r="110" spans="2:20" x14ac:dyDescent="0.3">
      <c r="B110">
        <f t="shared" ca="1" si="11"/>
        <v>52</v>
      </c>
      <c r="C110" cm="1">
        <f t="array" aca="1" ref="C110" ca="1">INDIRECT(ADDRESS(myRAND(1,C$2,C$8:C$9)+5,C$1))</f>
        <v>0</v>
      </c>
      <c r="D110" cm="1">
        <f t="array" aca="1" ref="D110" ca="1">INDIRECT(ADDRESS(myRAND(1,D$2,D$8:D$9)+5,D$1))</f>
        <v>0</v>
      </c>
      <c r="E110" cm="1">
        <f t="array" aca="1" ref="E110" ca="1">INDIRECT(ADDRESS(myRAND(1,E$2,E$8:E$9)+5,E$1))</f>
        <v>1</v>
      </c>
      <c r="F110" cm="1">
        <f t="array" aca="1" ref="F110" ca="1">INDIRECT(ADDRESS(myRAND(1,F$2,F$8:F$9)+5,F$1))</f>
        <v>0</v>
      </c>
      <c r="G110" cm="1">
        <f t="array" aca="1" ref="G110" ca="1">INDIRECT(ADDRESS(myRAND(1,G$2,G$8:G$9)+5,G$1))</f>
        <v>1</v>
      </c>
      <c r="H110" cm="1">
        <f t="array" aca="1" ref="H110" ca="1">INDIRECT(ADDRESS(myRAND(1,H$2,H$8:H$9)+5,H$1))</f>
        <v>1</v>
      </c>
      <c r="I110" cm="1">
        <f t="array" aca="1" ref="I110" ca="1">INDIRECT(ADDRESS(myRAND(1,I$2,I$8:I$9)+5,I$1))</f>
        <v>0</v>
      </c>
      <c r="J110">
        <f t="shared" ca="1" si="0"/>
        <v>12</v>
      </c>
      <c r="K110">
        <f t="shared" ca="1" si="0"/>
        <v>224</v>
      </c>
      <c r="L110" s="3">
        <f t="shared" ca="1" si="12"/>
        <v>1</v>
      </c>
      <c r="M110" s="13">
        <f t="shared" ca="1" si="13"/>
        <v>9.195454993100434E-2</v>
      </c>
      <c r="N110">
        <f t="shared" ca="1" si="14"/>
        <v>-2.29</v>
      </c>
      <c r="O110">
        <f t="shared" ca="1" si="15"/>
        <v>0</v>
      </c>
      <c r="P110">
        <f t="shared" ca="1" si="16"/>
        <v>0</v>
      </c>
      <c r="Q110">
        <f t="shared" ca="1" si="17"/>
        <v>1</v>
      </c>
      <c r="R110">
        <f t="shared" ca="1" si="18"/>
        <v>0</v>
      </c>
      <c r="S110">
        <f t="shared" ca="1" si="19"/>
        <v>2</v>
      </c>
      <c r="T110" s="17">
        <f t="shared" ca="1" si="20"/>
        <v>1.7104761904761905</v>
      </c>
    </row>
    <row r="111" spans="2:20" x14ac:dyDescent="0.3">
      <c r="B111">
        <f t="shared" ca="1" si="11"/>
        <v>59</v>
      </c>
      <c r="C111" cm="1">
        <f t="array" aca="1" ref="C111" ca="1">INDIRECT(ADDRESS(myRAND(1,C$2,C$8:C$9)+5,C$1))</f>
        <v>1</v>
      </c>
      <c r="D111" cm="1">
        <f t="array" aca="1" ref="D111" ca="1">INDIRECT(ADDRESS(myRAND(1,D$2,D$8:D$9)+5,D$1))</f>
        <v>1</v>
      </c>
      <c r="E111" cm="1">
        <f t="array" aca="1" ref="E111" ca="1">INDIRECT(ADDRESS(myRAND(1,E$2,E$8:E$9)+5,E$1))</f>
        <v>1</v>
      </c>
      <c r="F111" cm="1">
        <f t="array" aca="1" ref="F111" ca="1">INDIRECT(ADDRESS(myRAND(1,F$2,F$8:F$9)+5,F$1))</f>
        <v>1</v>
      </c>
      <c r="G111" cm="1">
        <f t="array" aca="1" ref="G111" ca="1">INDIRECT(ADDRESS(myRAND(1,G$2,G$8:G$9)+5,G$1))</f>
        <v>0</v>
      </c>
      <c r="H111" cm="1">
        <f t="array" aca="1" ref="H111" ca="1">INDIRECT(ADDRESS(myRAND(1,H$2,H$8:H$9)+5,H$1))</f>
        <v>0</v>
      </c>
      <c r="I111" cm="1">
        <f t="array" aca="1" ref="I111" ca="1">INDIRECT(ADDRESS(myRAND(1,I$2,I$8:I$9)+5,I$1))</f>
        <v>0</v>
      </c>
      <c r="J111">
        <f t="shared" ca="1" si="0"/>
        <v>16</v>
      </c>
      <c r="K111">
        <f t="shared" ca="1" si="0"/>
        <v>190</v>
      </c>
      <c r="L111" s="3">
        <f t="shared" ca="1" si="12"/>
        <v>3</v>
      </c>
      <c r="M111" s="13">
        <f t="shared" ca="1" si="13"/>
        <v>0.49250056244937962</v>
      </c>
      <c r="N111">
        <f t="shared" ca="1" si="14"/>
        <v>-3.0000000000000138E-2</v>
      </c>
      <c r="O111">
        <f t="shared" ca="1" si="15"/>
        <v>1</v>
      </c>
      <c r="P111">
        <f t="shared" ca="1" si="16"/>
        <v>0</v>
      </c>
      <c r="Q111">
        <f t="shared" ca="1" si="17"/>
        <v>0</v>
      </c>
      <c r="R111">
        <f t="shared" ca="1" si="18"/>
        <v>0</v>
      </c>
      <c r="S111">
        <f t="shared" ca="1" si="19"/>
        <v>0</v>
      </c>
      <c r="T111" s="17">
        <f t="shared" ca="1" si="20"/>
        <v>2.8852380952380954</v>
      </c>
    </row>
    <row r="112" spans="2:20" x14ac:dyDescent="0.3">
      <c r="B112">
        <f t="shared" ca="1" si="11"/>
        <v>43</v>
      </c>
      <c r="C112" cm="1">
        <f t="array" aca="1" ref="C112" ca="1">INDIRECT(ADDRESS(myRAND(1,C$2,C$8:C$9)+5,C$1))</f>
        <v>0</v>
      </c>
      <c r="D112" cm="1">
        <f t="array" aca="1" ref="D112" ca="1">INDIRECT(ADDRESS(myRAND(1,D$2,D$8:D$9)+5,D$1))</f>
        <v>0</v>
      </c>
      <c r="E112" cm="1">
        <f t="array" aca="1" ref="E112" ca="1">INDIRECT(ADDRESS(myRAND(1,E$2,E$8:E$9)+5,E$1))</f>
        <v>1</v>
      </c>
      <c r="F112" cm="1">
        <f t="array" aca="1" ref="F112" ca="1">INDIRECT(ADDRESS(myRAND(1,F$2,F$8:F$9)+5,F$1))</f>
        <v>0</v>
      </c>
      <c r="G112" cm="1">
        <f t="array" aca="1" ref="G112" ca="1">INDIRECT(ADDRESS(myRAND(1,G$2,G$8:G$9)+5,G$1))</f>
        <v>0</v>
      </c>
      <c r="H112" cm="1">
        <f t="array" aca="1" ref="H112" ca="1">INDIRECT(ADDRESS(myRAND(1,H$2,H$8:H$9)+5,H$1))</f>
        <v>1</v>
      </c>
      <c r="I112" cm="1">
        <f t="array" aca="1" ref="I112" ca="1">INDIRECT(ADDRESS(myRAND(1,I$2,I$8:I$9)+5,I$1))</f>
        <v>1</v>
      </c>
      <c r="J112">
        <f t="shared" ca="1" si="0"/>
        <v>13</v>
      </c>
      <c r="K112">
        <f t="shared" ca="1" si="0"/>
        <v>189</v>
      </c>
      <c r="L112" s="3">
        <f t="shared" ca="1" si="12"/>
        <v>1</v>
      </c>
      <c r="M112" s="13">
        <f t="shared" ca="1" si="13"/>
        <v>6.5989009491218761E-2</v>
      </c>
      <c r="N112">
        <f t="shared" ca="1" si="14"/>
        <v>-2.6500000000000004</v>
      </c>
      <c r="O112">
        <f t="shared" ca="1" si="15"/>
        <v>0</v>
      </c>
      <c r="P112">
        <f t="shared" ca="1" si="16"/>
        <v>0</v>
      </c>
      <c r="Q112">
        <f t="shared" ca="1" si="17"/>
        <v>1</v>
      </c>
      <c r="R112">
        <f t="shared" ca="1" si="18"/>
        <v>0</v>
      </c>
      <c r="S112">
        <f t="shared" ca="1" si="19"/>
        <v>2</v>
      </c>
      <c r="T112" s="17">
        <f t="shared" ca="1" si="20"/>
        <v>4.5204761904761908</v>
      </c>
    </row>
    <row r="113" spans="2:20" x14ac:dyDescent="0.3">
      <c r="B113">
        <f t="shared" ca="1" si="11"/>
        <v>54</v>
      </c>
      <c r="C113" cm="1">
        <f t="array" aca="1" ref="C113" ca="1">INDIRECT(ADDRESS(myRAND(1,C$2,C$8:C$9)+5,C$1))</f>
        <v>1</v>
      </c>
      <c r="D113" cm="1">
        <f t="array" aca="1" ref="D113" ca="1">INDIRECT(ADDRESS(myRAND(1,D$2,D$8:D$9)+5,D$1))</f>
        <v>1</v>
      </c>
      <c r="E113" cm="1">
        <f t="array" aca="1" ref="E113" ca="1">INDIRECT(ADDRESS(myRAND(1,E$2,E$8:E$9)+5,E$1))</f>
        <v>0</v>
      </c>
      <c r="F113" cm="1">
        <f t="array" aca="1" ref="F113" ca="1">INDIRECT(ADDRESS(myRAND(1,F$2,F$8:F$9)+5,F$1))</f>
        <v>1</v>
      </c>
      <c r="G113" cm="1">
        <f t="array" aca="1" ref="G113" ca="1">INDIRECT(ADDRESS(myRAND(1,G$2,G$8:G$9)+5,G$1))</f>
        <v>1</v>
      </c>
      <c r="H113" cm="1">
        <f t="array" aca="1" ref="H113" ca="1">INDIRECT(ADDRESS(myRAND(1,H$2,H$8:H$9)+5,H$1))</f>
        <v>0</v>
      </c>
      <c r="I113" cm="1">
        <f t="array" aca="1" ref="I113" ca="1">INDIRECT(ADDRESS(myRAND(1,I$2,I$8:I$9)+5,I$1))</f>
        <v>0</v>
      </c>
      <c r="J113">
        <f t="shared" ca="1" si="0"/>
        <v>12</v>
      </c>
      <c r="K113">
        <f t="shared" ca="1" si="0"/>
        <v>229</v>
      </c>
      <c r="L113" s="3">
        <f t="shared" ca="1" si="12"/>
        <v>3</v>
      </c>
      <c r="M113" s="13">
        <f t="shared" ca="1" si="13"/>
        <v>0.73691589583342021</v>
      </c>
      <c r="N113">
        <f t="shared" ca="1" si="14"/>
        <v>1.03</v>
      </c>
      <c r="O113">
        <f t="shared" ca="1" si="15"/>
        <v>0</v>
      </c>
      <c r="P113">
        <f t="shared" ca="1" si="16"/>
        <v>1</v>
      </c>
      <c r="Q113">
        <f t="shared" ca="1" si="17"/>
        <v>0</v>
      </c>
      <c r="R113">
        <f t="shared" ca="1" si="18"/>
        <v>0</v>
      </c>
      <c r="S113">
        <f t="shared" ca="1" si="19"/>
        <v>1</v>
      </c>
      <c r="T113" s="17">
        <f t="shared" ca="1" si="20"/>
        <v>2.7542857142857144</v>
      </c>
    </row>
    <row r="114" spans="2:20" x14ac:dyDescent="0.3">
      <c r="B114">
        <f t="shared" ca="1" si="11"/>
        <v>54</v>
      </c>
      <c r="C114" cm="1">
        <f t="array" aca="1" ref="C114" ca="1">INDIRECT(ADDRESS(myRAND(1,C$2,C$8:C$9)+5,C$1))</f>
        <v>0</v>
      </c>
      <c r="D114" cm="1">
        <f t="array" aca="1" ref="D114" ca="1">INDIRECT(ADDRESS(myRAND(1,D$2,D$8:D$9)+5,D$1))</f>
        <v>0</v>
      </c>
      <c r="E114" cm="1">
        <f t="array" aca="1" ref="E114" ca="1">INDIRECT(ADDRESS(myRAND(1,E$2,E$8:E$9)+5,E$1))</f>
        <v>0</v>
      </c>
      <c r="F114" cm="1">
        <f t="array" aca="1" ref="F114" ca="1">INDIRECT(ADDRESS(myRAND(1,F$2,F$8:F$9)+5,F$1))</f>
        <v>1</v>
      </c>
      <c r="G114" cm="1">
        <f t="array" aca="1" ref="G114" ca="1">INDIRECT(ADDRESS(myRAND(1,G$2,G$8:G$9)+5,G$1))</f>
        <v>0</v>
      </c>
      <c r="H114" cm="1">
        <f t="array" aca="1" ref="H114" ca="1">INDIRECT(ADDRESS(myRAND(1,H$2,H$8:H$9)+5,H$1))</f>
        <v>0</v>
      </c>
      <c r="I114" cm="1">
        <f t="array" aca="1" ref="I114" ca="1">INDIRECT(ADDRESS(myRAND(1,I$2,I$8:I$9)+5,I$1))</f>
        <v>1</v>
      </c>
      <c r="J114">
        <f t="shared" ca="1" si="0"/>
        <v>11</v>
      </c>
      <c r="K114">
        <f t="shared" ca="1" si="0"/>
        <v>209</v>
      </c>
      <c r="L114" s="3">
        <f t="shared" ca="1" si="12"/>
        <v>1</v>
      </c>
      <c r="M114" s="13">
        <f t="shared" ca="1" si="13"/>
        <v>9.8856073178169385E-2</v>
      </c>
      <c r="N114">
        <f t="shared" ca="1" si="14"/>
        <v>-2.21</v>
      </c>
      <c r="O114">
        <f t="shared" ca="1" si="15"/>
        <v>0</v>
      </c>
      <c r="P114">
        <f t="shared" ca="1" si="16"/>
        <v>0</v>
      </c>
      <c r="Q114">
        <f t="shared" ca="1" si="17"/>
        <v>1</v>
      </c>
      <c r="R114">
        <f t="shared" ca="1" si="18"/>
        <v>0</v>
      </c>
      <c r="S114">
        <f t="shared" ca="1" si="19"/>
        <v>1</v>
      </c>
      <c r="T114" s="17">
        <f t="shared" ca="1" si="20"/>
        <v>4.5923809523809522</v>
      </c>
    </row>
    <row r="115" spans="2:20" x14ac:dyDescent="0.3">
      <c r="B115">
        <f t="shared" ca="1" si="11"/>
        <v>53</v>
      </c>
      <c r="C115" cm="1">
        <f t="array" aca="1" ref="C115" ca="1">INDIRECT(ADDRESS(myRAND(1,C$2,C$8:C$9)+5,C$1))</f>
        <v>1</v>
      </c>
      <c r="D115" cm="1">
        <f t="array" aca="1" ref="D115" ca="1">INDIRECT(ADDRESS(myRAND(1,D$2,D$8:D$9)+5,D$1))</f>
        <v>1</v>
      </c>
      <c r="E115" cm="1">
        <f t="array" aca="1" ref="E115" ca="1">INDIRECT(ADDRESS(myRAND(1,E$2,E$8:E$9)+5,E$1))</f>
        <v>1</v>
      </c>
      <c r="F115" cm="1">
        <f t="array" aca="1" ref="F115" ca="1">INDIRECT(ADDRESS(myRAND(1,F$2,F$8:F$9)+5,F$1))</f>
        <v>1</v>
      </c>
      <c r="G115" cm="1">
        <f t="array" aca="1" ref="G115" ca="1">INDIRECT(ADDRESS(myRAND(1,G$2,G$8:G$9)+5,G$1))</f>
        <v>1</v>
      </c>
      <c r="H115" cm="1">
        <f t="array" aca="1" ref="H115" ca="1">INDIRECT(ADDRESS(myRAND(1,H$2,H$8:H$9)+5,H$1))</f>
        <v>0</v>
      </c>
      <c r="I115" cm="1">
        <f t="array" aca="1" ref="I115" ca="1">INDIRECT(ADDRESS(myRAND(1,I$2,I$8:I$9)+5,I$1))</f>
        <v>0</v>
      </c>
      <c r="J115">
        <f t="shared" ca="1" si="0"/>
        <v>18</v>
      </c>
      <c r="K115">
        <f t="shared" ca="1" si="0"/>
        <v>202</v>
      </c>
      <c r="L115" s="3">
        <f t="shared" ca="1" si="12"/>
        <v>2</v>
      </c>
      <c r="M115" s="13">
        <f t="shared" ca="1" si="13"/>
        <v>0.43290709503454572</v>
      </c>
      <c r="N115">
        <f t="shared" ca="1" si="14"/>
        <v>-0.26999999999999991</v>
      </c>
      <c r="O115">
        <f t="shared" ca="1" si="15"/>
        <v>1</v>
      </c>
      <c r="P115">
        <f t="shared" ca="1" si="16"/>
        <v>0</v>
      </c>
      <c r="Q115">
        <f t="shared" ca="1" si="17"/>
        <v>0</v>
      </c>
      <c r="R115">
        <f t="shared" ca="1" si="18"/>
        <v>0</v>
      </c>
      <c r="S115">
        <f t="shared" ca="1" si="19"/>
        <v>1</v>
      </c>
      <c r="T115" s="17">
        <f t="shared" ca="1" si="20"/>
        <v>3.015714285714286</v>
      </c>
    </row>
    <row r="116" spans="2:20" x14ac:dyDescent="0.3">
      <c r="B116">
        <f t="shared" ca="1" si="11"/>
        <v>44</v>
      </c>
      <c r="C116" cm="1">
        <f t="array" aca="1" ref="C116" ca="1">INDIRECT(ADDRESS(myRAND(1,C$2,C$8:C$9)+5,C$1))</f>
        <v>1</v>
      </c>
      <c r="D116" cm="1">
        <f t="array" aca="1" ref="D116" ca="1">INDIRECT(ADDRESS(myRAND(1,D$2,D$8:D$9)+5,D$1))</f>
        <v>1</v>
      </c>
      <c r="E116" cm="1">
        <f t="array" aca="1" ref="E116" ca="1">INDIRECT(ADDRESS(myRAND(1,E$2,E$8:E$9)+5,E$1))</f>
        <v>1</v>
      </c>
      <c r="F116" cm="1">
        <f t="array" aca="1" ref="F116" ca="1">INDIRECT(ADDRESS(myRAND(1,F$2,F$8:F$9)+5,F$1))</f>
        <v>1</v>
      </c>
      <c r="G116" cm="1">
        <f t="array" aca="1" ref="G116" ca="1">INDIRECT(ADDRESS(myRAND(1,G$2,G$8:G$9)+5,G$1))</f>
        <v>0</v>
      </c>
      <c r="H116" cm="1">
        <f t="array" aca="1" ref="H116" ca="1">INDIRECT(ADDRESS(myRAND(1,H$2,H$8:H$9)+5,H$1))</f>
        <v>0</v>
      </c>
      <c r="I116" cm="1">
        <f t="array" aca="1" ref="I116" ca="1">INDIRECT(ADDRESS(myRAND(1,I$2,I$8:I$9)+5,I$1))</f>
        <v>1</v>
      </c>
      <c r="J116">
        <f t="shared" ca="1" si="0"/>
        <v>13</v>
      </c>
      <c r="K116">
        <f t="shared" ca="1" si="0"/>
        <v>232</v>
      </c>
      <c r="L116" s="3">
        <f t="shared" ca="1" si="12"/>
        <v>3</v>
      </c>
      <c r="M116" s="13">
        <f t="shared" ca="1" si="13"/>
        <v>0.34751053780725544</v>
      </c>
      <c r="N116">
        <f t="shared" ca="1" si="14"/>
        <v>-0.63000000000000023</v>
      </c>
      <c r="O116">
        <f t="shared" ca="1" si="15"/>
        <v>1</v>
      </c>
      <c r="P116">
        <f t="shared" ca="1" si="16"/>
        <v>0</v>
      </c>
      <c r="Q116">
        <f t="shared" ca="1" si="17"/>
        <v>0</v>
      </c>
      <c r="R116">
        <f t="shared" ca="1" si="18"/>
        <v>0</v>
      </c>
      <c r="S116">
        <f t="shared" ca="1" si="19"/>
        <v>1</v>
      </c>
      <c r="T116" s="17">
        <f t="shared" ca="1" si="20"/>
        <v>5.7352380952380955</v>
      </c>
    </row>
    <row r="117" spans="2:20" x14ac:dyDescent="0.3">
      <c r="B117">
        <f t="shared" ca="1" si="11"/>
        <v>54</v>
      </c>
      <c r="C117" cm="1">
        <f t="array" aca="1" ref="C117" ca="1">INDIRECT(ADDRESS(myRAND(1,C$2,C$8:C$9)+5,C$1))</f>
        <v>1</v>
      </c>
      <c r="D117" cm="1">
        <f t="array" aca="1" ref="D117" ca="1">INDIRECT(ADDRESS(myRAND(1,D$2,D$8:D$9)+5,D$1))</f>
        <v>1</v>
      </c>
      <c r="E117" cm="1">
        <f t="array" aca="1" ref="E117" ca="1">INDIRECT(ADDRESS(myRAND(1,E$2,E$8:E$9)+5,E$1))</f>
        <v>1</v>
      </c>
      <c r="F117" cm="1">
        <f t="array" aca="1" ref="F117" ca="1">INDIRECT(ADDRESS(myRAND(1,F$2,F$8:F$9)+5,F$1))</f>
        <v>0</v>
      </c>
      <c r="G117" cm="1">
        <f t="array" aca="1" ref="G117" ca="1">INDIRECT(ADDRESS(myRAND(1,G$2,G$8:G$9)+5,G$1))</f>
        <v>1</v>
      </c>
      <c r="H117" cm="1">
        <f t="array" aca="1" ref="H117" ca="1">INDIRECT(ADDRESS(myRAND(1,H$2,H$8:H$9)+5,H$1))</f>
        <v>0</v>
      </c>
      <c r="I117" cm="1">
        <f t="array" aca="1" ref="I117" ca="1">INDIRECT(ADDRESS(myRAND(1,I$2,I$8:I$9)+5,I$1))</f>
        <v>1</v>
      </c>
      <c r="J117">
        <f t="shared" ca="1" si="0"/>
        <v>10</v>
      </c>
      <c r="K117">
        <f t="shared" ca="1" si="0"/>
        <v>193</v>
      </c>
      <c r="L117" s="3">
        <f t="shared" ca="1" si="12"/>
        <v>3</v>
      </c>
      <c r="M117" s="13">
        <f t="shared" ca="1" si="13"/>
        <v>0.73691589583342021</v>
      </c>
      <c r="N117">
        <f t="shared" ca="1" si="14"/>
        <v>1.03</v>
      </c>
      <c r="O117">
        <f t="shared" ca="1" si="15"/>
        <v>0</v>
      </c>
      <c r="P117">
        <f t="shared" ca="1" si="16"/>
        <v>1</v>
      </c>
      <c r="Q117">
        <f t="shared" ca="1" si="17"/>
        <v>0</v>
      </c>
      <c r="R117">
        <f t="shared" ca="1" si="18"/>
        <v>0</v>
      </c>
      <c r="S117">
        <f t="shared" ca="1" si="19"/>
        <v>2</v>
      </c>
      <c r="T117" s="17">
        <f t="shared" ca="1" si="20"/>
        <v>5.449523809523809</v>
      </c>
    </row>
    <row r="118" spans="2:20" x14ac:dyDescent="0.3">
      <c r="B118">
        <f t="shared" ca="1" si="11"/>
        <v>57</v>
      </c>
      <c r="C118" cm="1">
        <f t="array" aca="1" ref="C118" ca="1">INDIRECT(ADDRESS(myRAND(1,C$2,C$8:C$9)+5,C$1))</f>
        <v>0</v>
      </c>
      <c r="D118" cm="1">
        <f t="array" aca="1" ref="D118" ca="1">INDIRECT(ADDRESS(myRAND(1,D$2,D$8:D$9)+5,D$1))</f>
        <v>1</v>
      </c>
      <c r="E118" cm="1">
        <f t="array" aca="1" ref="E118" ca="1">INDIRECT(ADDRESS(myRAND(1,E$2,E$8:E$9)+5,E$1))</f>
        <v>0</v>
      </c>
      <c r="F118" cm="1">
        <f t="array" aca="1" ref="F118" ca="1">INDIRECT(ADDRESS(myRAND(1,F$2,F$8:F$9)+5,F$1))</f>
        <v>1</v>
      </c>
      <c r="G118" cm="1">
        <f t="array" aca="1" ref="G118" ca="1">INDIRECT(ADDRESS(myRAND(1,G$2,G$8:G$9)+5,G$1))</f>
        <v>0</v>
      </c>
      <c r="H118" cm="1">
        <f t="array" aca="1" ref="H118" ca="1">INDIRECT(ADDRESS(myRAND(1,H$2,H$8:H$9)+5,H$1))</f>
        <v>1</v>
      </c>
      <c r="I118" cm="1">
        <f t="array" aca="1" ref="I118" ca="1">INDIRECT(ADDRESS(myRAND(1,I$2,I$8:I$9)+5,I$1))</f>
        <v>0</v>
      </c>
      <c r="J118">
        <f t="shared" ca="1" si="0"/>
        <v>14</v>
      </c>
      <c r="K118">
        <f t="shared" ca="1" si="0"/>
        <v>183</v>
      </c>
      <c r="L118" s="3">
        <f t="shared" ca="1" si="12"/>
        <v>3</v>
      </c>
      <c r="M118" s="13">
        <f t="shared" ca="1" si="13"/>
        <v>0.45264238185691075</v>
      </c>
      <c r="N118">
        <f t="shared" ca="1" si="14"/>
        <v>-0.18999999999999995</v>
      </c>
      <c r="O118">
        <f t="shared" ca="1" si="15"/>
        <v>0</v>
      </c>
      <c r="P118">
        <f t="shared" ca="1" si="16"/>
        <v>1</v>
      </c>
      <c r="Q118">
        <f t="shared" ca="1" si="17"/>
        <v>0</v>
      </c>
      <c r="R118">
        <f t="shared" ca="1" si="18"/>
        <v>0</v>
      </c>
      <c r="S118">
        <f t="shared" ca="1" si="19"/>
        <v>1</v>
      </c>
      <c r="T118" s="17">
        <f t="shared" ca="1" si="20"/>
        <v>1.6985714285714286</v>
      </c>
    </row>
    <row r="119" spans="2:20" x14ac:dyDescent="0.3">
      <c r="B119">
        <f t="shared" ca="1" si="11"/>
        <v>52</v>
      </c>
      <c r="C119" cm="1">
        <f t="array" aca="1" ref="C119" ca="1">INDIRECT(ADDRESS(myRAND(1,C$2,C$8:C$9)+5,C$1))</f>
        <v>0</v>
      </c>
      <c r="D119" cm="1">
        <f t="array" aca="1" ref="D119" ca="1">INDIRECT(ADDRESS(myRAND(1,D$2,D$8:D$9)+5,D$1))</f>
        <v>0</v>
      </c>
      <c r="E119" cm="1">
        <f t="array" aca="1" ref="E119" ca="1">INDIRECT(ADDRESS(myRAND(1,E$2,E$8:E$9)+5,E$1))</f>
        <v>0</v>
      </c>
      <c r="F119" cm="1">
        <f t="array" aca="1" ref="F119" ca="1">INDIRECT(ADDRESS(myRAND(1,F$2,F$8:F$9)+5,F$1))</f>
        <v>1</v>
      </c>
      <c r="G119" cm="1">
        <f t="array" aca="1" ref="G119" ca="1">INDIRECT(ADDRESS(myRAND(1,G$2,G$8:G$9)+5,G$1))</f>
        <v>0</v>
      </c>
      <c r="H119" cm="1">
        <f t="array" aca="1" ref="H119" ca="1">INDIRECT(ADDRESS(myRAND(1,H$2,H$8:H$9)+5,H$1))</f>
        <v>0</v>
      </c>
      <c r="I119" cm="1">
        <f t="array" aca="1" ref="I119" ca="1">INDIRECT(ADDRESS(myRAND(1,I$2,I$8:I$9)+5,I$1))</f>
        <v>1</v>
      </c>
      <c r="J119">
        <f t="shared" ca="1" si="0"/>
        <v>15</v>
      </c>
      <c r="K119">
        <f t="shared" ca="1" si="0"/>
        <v>214</v>
      </c>
      <c r="L119" s="3">
        <f t="shared" ca="1" si="12"/>
        <v>1</v>
      </c>
      <c r="M119" s="13">
        <f t="shared" ca="1" si="13"/>
        <v>9.195454993100434E-2</v>
      </c>
      <c r="N119">
        <f t="shared" ca="1" si="14"/>
        <v>-2.29</v>
      </c>
      <c r="O119">
        <f t="shared" ca="1" si="15"/>
        <v>0</v>
      </c>
      <c r="P119">
        <f t="shared" ca="1" si="16"/>
        <v>0</v>
      </c>
      <c r="Q119">
        <f t="shared" ca="1" si="17"/>
        <v>1</v>
      </c>
      <c r="R119">
        <f t="shared" ca="1" si="18"/>
        <v>0</v>
      </c>
      <c r="S119">
        <f t="shared" ca="1" si="19"/>
        <v>1</v>
      </c>
      <c r="T119" s="17">
        <f t="shared" ca="1" si="20"/>
        <v>4.862857142857143</v>
      </c>
    </row>
    <row r="120" spans="2:20" x14ac:dyDescent="0.3">
      <c r="B120">
        <f t="shared" ca="1" si="11"/>
        <v>61</v>
      </c>
      <c r="C120" cm="1">
        <f t="array" aca="1" ref="C120" ca="1">INDIRECT(ADDRESS(myRAND(1,C$2,C$8:C$9)+5,C$1))</f>
        <v>1</v>
      </c>
      <c r="D120" cm="1">
        <f t="array" aca="1" ref="D120" ca="1">INDIRECT(ADDRESS(myRAND(1,D$2,D$8:D$9)+5,D$1))</f>
        <v>1</v>
      </c>
      <c r="E120" cm="1">
        <f t="array" aca="1" ref="E120" ca="1">INDIRECT(ADDRESS(myRAND(1,E$2,E$8:E$9)+5,E$1))</f>
        <v>1</v>
      </c>
      <c r="F120" cm="1">
        <f t="array" aca="1" ref="F120" ca="1">INDIRECT(ADDRESS(myRAND(1,F$2,F$8:F$9)+5,F$1))</f>
        <v>1</v>
      </c>
      <c r="G120" cm="1">
        <f t="array" aca="1" ref="G120" ca="1">INDIRECT(ADDRESS(myRAND(1,G$2,G$8:G$9)+5,G$1))</f>
        <v>1</v>
      </c>
      <c r="H120" cm="1">
        <f t="array" aca="1" ref="H120" ca="1">INDIRECT(ADDRESS(myRAND(1,H$2,H$8:H$9)+5,H$1))</f>
        <v>0</v>
      </c>
      <c r="I120" cm="1">
        <f t="array" aca="1" ref="I120" ca="1">INDIRECT(ADDRESS(myRAND(1,I$2,I$8:I$9)+5,I$1))</f>
        <v>1</v>
      </c>
      <c r="J120">
        <f t="shared" ca="1" si="0"/>
        <v>10</v>
      </c>
      <c r="K120">
        <f t="shared" ca="1" si="0"/>
        <v>242</v>
      </c>
      <c r="L120" s="3">
        <f t="shared" ca="1" si="12"/>
        <v>3</v>
      </c>
      <c r="M120" s="13">
        <f t="shared" ca="1" si="13"/>
        <v>0.51249739648421033</v>
      </c>
      <c r="N120">
        <f t="shared" ca="1" si="14"/>
        <v>4.9999999999999933E-2</v>
      </c>
      <c r="O120">
        <f t="shared" ca="1" si="15"/>
        <v>1</v>
      </c>
      <c r="P120">
        <f t="shared" ca="1" si="16"/>
        <v>0</v>
      </c>
      <c r="Q120">
        <f t="shared" ca="1" si="17"/>
        <v>0</v>
      </c>
      <c r="R120">
        <f t="shared" ca="1" si="18"/>
        <v>0</v>
      </c>
      <c r="S120">
        <f t="shared" ca="1" si="19"/>
        <v>2</v>
      </c>
      <c r="T120" s="17">
        <f t="shared" ca="1" si="20"/>
        <v>5.7528571428571427</v>
      </c>
    </row>
    <row r="121" spans="2:20" x14ac:dyDescent="0.3">
      <c r="B121">
        <f t="shared" ca="1" si="11"/>
        <v>47</v>
      </c>
      <c r="C121" cm="1">
        <f t="array" aca="1" ref="C121" ca="1">INDIRECT(ADDRESS(myRAND(1,C$2,C$8:C$9)+5,C$1))</f>
        <v>0</v>
      </c>
      <c r="D121" cm="1">
        <f t="array" aca="1" ref="D121" ca="1">INDIRECT(ADDRESS(myRAND(1,D$2,D$8:D$9)+5,D$1))</f>
        <v>0</v>
      </c>
      <c r="E121" cm="1">
        <f t="array" aca="1" ref="E121" ca="1">INDIRECT(ADDRESS(myRAND(1,E$2,E$8:E$9)+5,E$1))</f>
        <v>0</v>
      </c>
      <c r="F121" cm="1">
        <f t="array" aca="1" ref="F121" ca="1">INDIRECT(ADDRESS(myRAND(1,F$2,F$8:F$9)+5,F$1))</f>
        <v>0</v>
      </c>
      <c r="G121" cm="1">
        <f t="array" aca="1" ref="G121" ca="1">INDIRECT(ADDRESS(myRAND(1,G$2,G$8:G$9)+5,G$1))</f>
        <v>1</v>
      </c>
      <c r="H121" cm="1">
        <f t="array" aca="1" ref="H121" ca="1">INDIRECT(ADDRESS(myRAND(1,H$2,H$8:H$9)+5,H$1))</f>
        <v>0</v>
      </c>
      <c r="I121" cm="1">
        <f t="array" aca="1" ref="I121" ca="1">INDIRECT(ADDRESS(myRAND(1,I$2,I$8:I$9)+5,I$1))</f>
        <v>1</v>
      </c>
      <c r="J121">
        <f t="shared" ca="1" si="0"/>
        <v>10</v>
      </c>
      <c r="K121">
        <f t="shared" ca="1" si="0"/>
        <v>226</v>
      </c>
      <c r="L121" s="3">
        <f t="shared" ca="1" si="12"/>
        <v>1</v>
      </c>
      <c r="M121" s="13">
        <f t="shared" ca="1" si="13"/>
        <v>7.6562197351812147E-2</v>
      </c>
      <c r="N121">
        <f t="shared" ca="1" si="14"/>
        <v>-2.4900000000000002</v>
      </c>
      <c r="O121">
        <f t="shared" ca="1" si="15"/>
        <v>0</v>
      </c>
      <c r="P121">
        <f t="shared" ca="1" si="16"/>
        <v>0</v>
      </c>
      <c r="Q121">
        <f t="shared" ca="1" si="17"/>
        <v>0</v>
      </c>
      <c r="R121">
        <f t="shared" ca="1" si="18"/>
        <v>0</v>
      </c>
      <c r="S121">
        <f t="shared" ca="1" si="19"/>
        <v>2</v>
      </c>
      <c r="T121" s="17">
        <f t="shared" ca="1" si="20"/>
        <v>4.5366666666666671</v>
      </c>
    </row>
    <row r="122" spans="2:20" x14ac:dyDescent="0.3">
      <c r="B122">
        <f t="shared" ca="1" si="11"/>
        <v>45</v>
      </c>
      <c r="C122" cm="1">
        <f t="array" aca="1" ref="C122" ca="1">INDIRECT(ADDRESS(myRAND(1,C$2,C$8:C$9)+5,C$1))</f>
        <v>1</v>
      </c>
      <c r="D122" cm="1">
        <f t="array" aca="1" ref="D122" ca="1">INDIRECT(ADDRESS(myRAND(1,D$2,D$8:D$9)+5,D$1))</f>
        <v>1</v>
      </c>
      <c r="E122" cm="1">
        <f t="array" aca="1" ref="E122" ca="1">INDIRECT(ADDRESS(myRAND(1,E$2,E$8:E$9)+5,E$1))</f>
        <v>0</v>
      </c>
      <c r="F122" cm="1">
        <f t="array" aca="1" ref="F122" ca="1">INDIRECT(ADDRESS(myRAND(1,F$2,F$8:F$9)+5,F$1))</f>
        <v>1</v>
      </c>
      <c r="G122" cm="1">
        <f t="array" aca="1" ref="G122" ca="1">INDIRECT(ADDRESS(myRAND(1,G$2,G$8:G$9)+5,G$1))</f>
        <v>0</v>
      </c>
      <c r="H122" cm="1">
        <f t="array" aca="1" ref="H122" ca="1">INDIRECT(ADDRESS(myRAND(1,H$2,H$8:H$9)+5,H$1))</f>
        <v>0</v>
      </c>
      <c r="I122" cm="1">
        <f t="array" aca="1" ref="I122" ca="1">INDIRECT(ADDRESS(myRAND(1,I$2,I$8:I$9)+5,I$1))</f>
        <v>1</v>
      </c>
      <c r="J122">
        <f t="shared" ca="1" si="0"/>
        <v>14</v>
      </c>
      <c r="K122">
        <f t="shared" ca="1" si="0"/>
        <v>188</v>
      </c>
      <c r="L122" s="3">
        <f t="shared" ca="1" si="12"/>
        <v>3</v>
      </c>
      <c r="M122" s="13">
        <f t="shared" ca="1" si="13"/>
        <v>0.66150315920295233</v>
      </c>
      <c r="N122">
        <f t="shared" ca="1" si="14"/>
        <v>0.66999999999999971</v>
      </c>
      <c r="O122">
        <f t="shared" ca="1" si="15"/>
        <v>0</v>
      </c>
      <c r="P122">
        <f t="shared" ca="1" si="16"/>
        <v>1</v>
      </c>
      <c r="Q122">
        <f t="shared" ca="1" si="17"/>
        <v>0</v>
      </c>
      <c r="R122">
        <f t="shared" ca="1" si="18"/>
        <v>0</v>
      </c>
      <c r="S122">
        <f t="shared" ca="1" si="19"/>
        <v>1</v>
      </c>
      <c r="T122" s="17">
        <f t="shared" ca="1" si="20"/>
        <v>5.6023809523809529</v>
      </c>
    </row>
    <row r="123" spans="2:20" x14ac:dyDescent="0.3">
      <c r="B123">
        <f t="shared" ca="1" si="11"/>
        <v>46</v>
      </c>
      <c r="C123" cm="1">
        <f t="array" aca="1" ref="C123" ca="1">INDIRECT(ADDRESS(myRAND(1,C$2,C$8:C$9)+5,C$1))</f>
        <v>0</v>
      </c>
      <c r="D123" cm="1">
        <f t="array" aca="1" ref="D123" ca="1">INDIRECT(ADDRESS(myRAND(1,D$2,D$8:D$9)+5,D$1))</f>
        <v>0</v>
      </c>
      <c r="E123" cm="1">
        <f t="array" aca="1" ref="E123" ca="1">INDIRECT(ADDRESS(myRAND(1,E$2,E$8:E$9)+5,E$1))</f>
        <v>0</v>
      </c>
      <c r="F123" cm="1">
        <f t="array" aca="1" ref="F123" ca="1">INDIRECT(ADDRESS(myRAND(1,F$2,F$8:F$9)+5,F$1))</f>
        <v>1</v>
      </c>
      <c r="G123" cm="1">
        <f t="array" aca="1" ref="G123" ca="1">INDIRECT(ADDRESS(myRAND(1,G$2,G$8:G$9)+5,G$1))</f>
        <v>1</v>
      </c>
      <c r="H123" cm="1">
        <f t="array" aca="1" ref="H123" ca="1">INDIRECT(ADDRESS(myRAND(1,H$2,H$8:H$9)+5,H$1))</f>
        <v>0</v>
      </c>
      <c r="I123" cm="1">
        <f t="array" aca="1" ref="I123" ca="1">INDIRECT(ADDRESS(myRAND(1,I$2,I$8:I$9)+5,I$1))</f>
        <v>1</v>
      </c>
      <c r="J123">
        <f t="shared" ca="1" si="0"/>
        <v>11</v>
      </c>
      <c r="K123">
        <f t="shared" ca="1" si="0"/>
        <v>196</v>
      </c>
      <c r="L123" s="3">
        <f t="shared" ca="1" si="12"/>
        <v>1</v>
      </c>
      <c r="M123" s="13">
        <f t="shared" ca="1" si="13"/>
        <v>7.3781646602465265E-2</v>
      </c>
      <c r="N123">
        <f t="shared" ca="1" si="14"/>
        <v>-2.5300000000000002</v>
      </c>
      <c r="O123">
        <f t="shared" ca="1" si="15"/>
        <v>0</v>
      </c>
      <c r="P123">
        <f t="shared" ca="1" si="16"/>
        <v>0</v>
      </c>
      <c r="Q123">
        <f t="shared" ca="1" si="17"/>
        <v>1</v>
      </c>
      <c r="R123">
        <f t="shared" ca="1" si="18"/>
        <v>0</v>
      </c>
      <c r="S123">
        <f t="shared" ca="1" si="19"/>
        <v>2</v>
      </c>
      <c r="T123" s="17">
        <f t="shared" ca="1" si="20"/>
        <v>4.4504761904761905</v>
      </c>
    </row>
    <row r="124" spans="2:20" x14ac:dyDescent="0.3">
      <c r="B124">
        <f t="shared" ca="1" si="11"/>
        <v>31</v>
      </c>
      <c r="C124" cm="1">
        <f t="array" aca="1" ref="C124" ca="1">INDIRECT(ADDRESS(myRAND(1,C$2,C$8:C$9)+5,C$1))</f>
        <v>1</v>
      </c>
      <c r="D124" cm="1">
        <f t="array" aca="1" ref="D124" ca="1">INDIRECT(ADDRESS(myRAND(1,D$2,D$8:D$9)+5,D$1))</f>
        <v>1</v>
      </c>
      <c r="E124" cm="1">
        <f t="array" aca="1" ref="E124" ca="1">INDIRECT(ADDRESS(myRAND(1,E$2,E$8:E$9)+5,E$1))</f>
        <v>1</v>
      </c>
      <c r="F124" cm="1">
        <f t="array" aca="1" ref="F124" ca="1">INDIRECT(ADDRESS(myRAND(1,F$2,F$8:F$9)+5,F$1))</f>
        <v>0</v>
      </c>
      <c r="G124" cm="1">
        <f t="array" aca="1" ref="G124" ca="1">INDIRECT(ADDRESS(myRAND(1,G$2,G$8:G$9)+5,G$1))</f>
        <v>0</v>
      </c>
      <c r="H124" cm="1">
        <f t="array" aca="1" ref="H124" ca="1">INDIRECT(ADDRESS(myRAND(1,H$2,H$8:H$9)+5,H$1))</f>
        <v>0</v>
      </c>
      <c r="I124" cm="1">
        <f t="array" aca="1" ref="I124" ca="1">INDIRECT(ADDRESS(myRAND(1,I$2,I$8:I$9)+5,I$1))</f>
        <v>1</v>
      </c>
      <c r="J124">
        <f t="shared" ca="1" si="0"/>
        <v>19</v>
      </c>
      <c r="K124">
        <f t="shared" ca="1" si="0"/>
        <v>179</v>
      </c>
      <c r="L124" s="3">
        <f t="shared" ca="1" si="12"/>
        <v>3</v>
      </c>
      <c r="M124" s="13">
        <f t="shared" ca="1" si="13"/>
        <v>0.5274723043445938</v>
      </c>
      <c r="N124">
        <f t="shared" ca="1" si="14"/>
        <v>0.1100000000000001</v>
      </c>
      <c r="O124">
        <f t="shared" ca="1" si="15"/>
        <v>0</v>
      </c>
      <c r="P124">
        <f t="shared" ca="1" si="16"/>
        <v>1</v>
      </c>
      <c r="Q124">
        <f t="shared" ca="1" si="17"/>
        <v>0</v>
      </c>
      <c r="R124">
        <f t="shared" ca="1" si="18"/>
        <v>0</v>
      </c>
      <c r="S124">
        <f t="shared" ca="1" si="19"/>
        <v>1</v>
      </c>
      <c r="T124" s="17">
        <f t="shared" ca="1" si="20"/>
        <v>5.7528571428571427</v>
      </c>
    </row>
    <row r="125" spans="2:20" x14ac:dyDescent="0.3">
      <c r="B125">
        <f t="shared" ca="1" si="11"/>
        <v>56</v>
      </c>
      <c r="C125" cm="1">
        <f t="array" aca="1" ref="C125" ca="1">INDIRECT(ADDRESS(myRAND(1,C$2,C$8:C$9)+5,C$1))</f>
        <v>1</v>
      </c>
      <c r="D125" cm="1">
        <f t="array" aca="1" ref="D125" ca="1">INDIRECT(ADDRESS(myRAND(1,D$2,D$8:D$9)+5,D$1))</f>
        <v>1</v>
      </c>
      <c r="E125" cm="1">
        <f t="array" aca="1" ref="E125" ca="1">INDIRECT(ADDRESS(myRAND(1,E$2,E$8:E$9)+5,E$1))</f>
        <v>0</v>
      </c>
      <c r="F125" cm="1">
        <f t="array" aca="1" ref="F125" ca="1">INDIRECT(ADDRESS(myRAND(1,F$2,F$8:F$9)+5,F$1))</f>
        <v>0</v>
      </c>
      <c r="G125" cm="1">
        <f t="array" aca="1" ref="G125" ca="1">INDIRECT(ADDRESS(myRAND(1,G$2,G$8:G$9)+5,G$1))</f>
        <v>1</v>
      </c>
      <c r="H125" cm="1">
        <f t="array" aca="1" ref="H125" ca="1">INDIRECT(ADDRESS(myRAND(1,H$2,H$8:H$9)+5,H$1))</f>
        <v>0</v>
      </c>
      <c r="I125" cm="1">
        <f t="array" aca="1" ref="I125" ca="1">INDIRECT(ADDRESS(myRAND(1,I$2,I$8:I$9)+5,I$1))</f>
        <v>1</v>
      </c>
      <c r="J125">
        <f t="shared" ca="1" si="0"/>
        <v>11</v>
      </c>
      <c r="K125">
        <f t="shared" ca="1" si="0"/>
        <v>187</v>
      </c>
      <c r="L125" s="3">
        <f t="shared" ca="1" si="12"/>
        <v>3</v>
      </c>
      <c r="M125" s="13">
        <f t="shared" ca="1" si="13"/>
        <v>0.31216866941715965</v>
      </c>
      <c r="N125">
        <f t="shared" ca="1" si="14"/>
        <v>-0.78999999999999981</v>
      </c>
      <c r="O125">
        <f t="shared" ca="1" si="15"/>
        <v>0</v>
      </c>
      <c r="P125">
        <f t="shared" ca="1" si="16"/>
        <v>0</v>
      </c>
      <c r="Q125">
        <f t="shared" ca="1" si="17"/>
        <v>1</v>
      </c>
      <c r="R125">
        <f t="shared" ca="1" si="18"/>
        <v>0</v>
      </c>
      <c r="S125">
        <f t="shared" ca="1" si="19"/>
        <v>2</v>
      </c>
      <c r="T125" s="17">
        <f t="shared" ca="1" si="20"/>
        <v>5.5076190476190474</v>
      </c>
    </row>
    <row r="126" spans="2:20" x14ac:dyDescent="0.3">
      <c r="B126">
        <f t="shared" ca="1" si="11"/>
        <v>43</v>
      </c>
      <c r="C126" cm="1">
        <f t="array" aca="1" ref="C126" ca="1">INDIRECT(ADDRESS(myRAND(1,C$2,C$8:C$9)+5,C$1))</f>
        <v>1</v>
      </c>
      <c r="D126" cm="1">
        <f t="array" aca="1" ref="D126" ca="1">INDIRECT(ADDRESS(myRAND(1,D$2,D$8:D$9)+5,D$1))</f>
        <v>1</v>
      </c>
      <c r="E126" cm="1">
        <f t="array" aca="1" ref="E126" ca="1">INDIRECT(ADDRESS(myRAND(1,E$2,E$8:E$9)+5,E$1))</f>
        <v>0</v>
      </c>
      <c r="F126" cm="1">
        <f t="array" aca="1" ref="F126" ca="1">INDIRECT(ADDRESS(myRAND(1,F$2,F$8:F$9)+5,F$1))</f>
        <v>1</v>
      </c>
      <c r="G126" cm="1">
        <f t="array" aca="1" ref="G126" ca="1">INDIRECT(ADDRESS(myRAND(1,G$2,G$8:G$9)+5,G$1))</f>
        <v>0</v>
      </c>
      <c r="H126" cm="1">
        <f t="array" aca="1" ref="H126" ca="1">INDIRECT(ADDRESS(myRAND(1,H$2,H$8:H$9)+5,H$1))</f>
        <v>1</v>
      </c>
      <c r="I126" cm="1">
        <f t="array" aca="1" ref="I126" ca="1">INDIRECT(ADDRESS(myRAND(1,I$2,I$8:I$9)+5,I$1))</f>
        <v>1</v>
      </c>
      <c r="J126">
        <f t="shared" ca="1" si="0"/>
        <v>13</v>
      </c>
      <c r="K126">
        <f t="shared" ca="1" si="0"/>
        <v>198</v>
      </c>
      <c r="L126" s="3">
        <f t="shared" ca="1" si="12"/>
        <v>2</v>
      </c>
      <c r="M126" s="13">
        <f t="shared" ca="1" si="13"/>
        <v>0.64336514569440162</v>
      </c>
      <c r="N126">
        <f t="shared" ca="1" si="14"/>
        <v>0.58999999999999964</v>
      </c>
      <c r="O126">
        <f t="shared" ca="1" si="15"/>
        <v>0</v>
      </c>
      <c r="P126">
        <f t="shared" ca="1" si="16"/>
        <v>1</v>
      </c>
      <c r="Q126">
        <f t="shared" ca="1" si="17"/>
        <v>0</v>
      </c>
      <c r="R126">
        <f t="shared" ca="1" si="18"/>
        <v>0</v>
      </c>
      <c r="S126">
        <f t="shared" ca="1" si="19"/>
        <v>2</v>
      </c>
      <c r="T126" s="17">
        <f t="shared" ca="1" si="20"/>
        <v>5.5633333333333335</v>
      </c>
    </row>
    <row r="127" spans="2:20" x14ac:dyDescent="0.3">
      <c r="B127">
        <f t="shared" ca="1" si="11"/>
        <v>52</v>
      </c>
      <c r="C127" cm="1">
        <f t="array" aca="1" ref="C127" ca="1">INDIRECT(ADDRESS(myRAND(1,C$2,C$8:C$9)+5,C$1))</f>
        <v>1</v>
      </c>
      <c r="D127" cm="1">
        <f t="array" aca="1" ref="D127" ca="1">INDIRECT(ADDRESS(myRAND(1,D$2,D$8:D$9)+5,D$1))</f>
        <v>0</v>
      </c>
      <c r="E127" cm="1">
        <f t="array" aca="1" ref="E127" ca="1">INDIRECT(ADDRESS(myRAND(1,E$2,E$8:E$9)+5,E$1))</f>
        <v>1</v>
      </c>
      <c r="F127" cm="1">
        <f t="array" aca="1" ref="F127" ca="1">INDIRECT(ADDRESS(myRAND(1,F$2,F$8:F$9)+5,F$1))</f>
        <v>1</v>
      </c>
      <c r="G127" cm="1">
        <f t="array" aca="1" ref="G127" ca="1">INDIRECT(ADDRESS(myRAND(1,G$2,G$8:G$9)+5,G$1))</f>
        <v>0</v>
      </c>
      <c r="H127" cm="1">
        <f t="array" aca="1" ref="H127" ca="1">INDIRECT(ADDRESS(myRAND(1,H$2,H$8:H$9)+5,H$1))</f>
        <v>0</v>
      </c>
      <c r="I127" cm="1">
        <f t="array" aca="1" ref="I127" ca="1">INDIRECT(ADDRESS(myRAND(1,I$2,I$8:I$9)+5,I$1))</f>
        <v>1</v>
      </c>
      <c r="J127">
        <f t="shared" ca="1" si="0"/>
        <v>9</v>
      </c>
      <c r="K127">
        <f t="shared" ca="1" si="0"/>
        <v>199</v>
      </c>
      <c r="L127" s="3">
        <f t="shared" ca="1" si="12"/>
        <v>3</v>
      </c>
      <c r="M127" s="13">
        <f t="shared" ca="1" si="13"/>
        <v>0.72111517802286307</v>
      </c>
      <c r="N127">
        <f t="shared" ca="1" si="14"/>
        <v>0.95</v>
      </c>
      <c r="O127">
        <f t="shared" ca="1" si="15"/>
        <v>0</v>
      </c>
      <c r="P127">
        <f t="shared" ca="1" si="16"/>
        <v>1</v>
      </c>
      <c r="Q127">
        <f t="shared" ca="1" si="17"/>
        <v>0</v>
      </c>
      <c r="R127">
        <f t="shared" ca="1" si="18"/>
        <v>0</v>
      </c>
      <c r="S127">
        <f t="shared" ca="1" si="19"/>
        <v>1</v>
      </c>
      <c r="T127" s="17">
        <f t="shared" ca="1" si="20"/>
        <v>5.3914285714285715</v>
      </c>
    </row>
    <row r="128" spans="2:20" x14ac:dyDescent="0.3">
      <c r="B128">
        <f t="shared" ca="1" si="11"/>
        <v>60</v>
      </c>
      <c r="C128" cm="1">
        <f t="array" aca="1" ref="C128" ca="1">INDIRECT(ADDRESS(myRAND(1,C$2,C$8:C$9)+5,C$1))</f>
        <v>1</v>
      </c>
      <c r="D128" cm="1">
        <f t="array" aca="1" ref="D128" ca="1">INDIRECT(ADDRESS(myRAND(1,D$2,D$8:D$9)+5,D$1))</f>
        <v>1</v>
      </c>
      <c r="E128" cm="1">
        <f t="array" aca="1" ref="E128" ca="1">INDIRECT(ADDRESS(myRAND(1,E$2,E$8:E$9)+5,E$1))</f>
        <v>1</v>
      </c>
      <c r="F128" cm="1">
        <f t="array" aca="1" ref="F128" ca="1">INDIRECT(ADDRESS(myRAND(1,F$2,F$8:F$9)+5,F$1))</f>
        <v>0</v>
      </c>
      <c r="G128" cm="1">
        <f t="array" aca="1" ref="G128" ca="1">INDIRECT(ADDRESS(myRAND(1,G$2,G$8:G$9)+5,G$1))</f>
        <v>0</v>
      </c>
      <c r="H128" cm="1">
        <f t="array" aca="1" ref="H128" ca="1">INDIRECT(ADDRESS(myRAND(1,H$2,H$8:H$9)+5,H$1))</f>
        <v>0</v>
      </c>
      <c r="I128" cm="1">
        <f t="array" aca="1" ref="I128" ca="1">INDIRECT(ADDRESS(myRAND(1,I$2,I$8:I$9)+5,I$1))</f>
        <v>1</v>
      </c>
      <c r="J128">
        <f t="shared" ca="1" si="0"/>
        <v>14</v>
      </c>
      <c r="K128">
        <f t="shared" ca="1" si="0"/>
        <v>223</v>
      </c>
      <c r="L128" s="3">
        <f t="shared" ca="1" si="12"/>
        <v>3</v>
      </c>
      <c r="M128" s="13">
        <f t="shared" ca="1" si="13"/>
        <v>0.78074274791212817</v>
      </c>
      <c r="N128">
        <f t="shared" ca="1" si="14"/>
        <v>1.2699999999999998</v>
      </c>
      <c r="O128">
        <f t="shared" ca="1" si="15"/>
        <v>0</v>
      </c>
      <c r="P128">
        <f t="shared" ca="1" si="16"/>
        <v>1</v>
      </c>
      <c r="Q128">
        <f t="shared" ca="1" si="17"/>
        <v>0</v>
      </c>
      <c r="R128">
        <f t="shared" ca="1" si="18"/>
        <v>0</v>
      </c>
      <c r="S128">
        <f t="shared" ca="1" si="19"/>
        <v>1</v>
      </c>
      <c r="T128" s="17">
        <f t="shared" ca="1" si="20"/>
        <v>5.9190476190476193</v>
      </c>
    </row>
    <row r="129" spans="2:20" x14ac:dyDescent="0.3">
      <c r="B129">
        <f t="shared" ca="1" si="11"/>
        <v>51</v>
      </c>
      <c r="C129" cm="1">
        <f t="array" aca="1" ref="C129" ca="1">INDIRECT(ADDRESS(myRAND(1,C$2,C$8:C$9)+5,C$1))</f>
        <v>0</v>
      </c>
      <c r="D129" cm="1">
        <f t="array" aca="1" ref="D129" ca="1">INDIRECT(ADDRESS(myRAND(1,D$2,D$8:D$9)+5,D$1))</f>
        <v>0</v>
      </c>
      <c r="E129" cm="1">
        <f t="array" aca="1" ref="E129" ca="1">INDIRECT(ADDRESS(myRAND(1,E$2,E$8:E$9)+5,E$1))</f>
        <v>1</v>
      </c>
      <c r="F129" cm="1">
        <f t="array" aca="1" ref="F129" ca="1">INDIRECT(ADDRESS(myRAND(1,F$2,F$8:F$9)+5,F$1))</f>
        <v>1</v>
      </c>
      <c r="G129" cm="1">
        <f t="array" aca="1" ref="G129" ca="1">INDIRECT(ADDRESS(myRAND(1,G$2,G$8:G$9)+5,G$1))</f>
        <v>0</v>
      </c>
      <c r="H129" cm="1">
        <f t="array" aca="1" ref="H129" ca="1">INDIRECT(ADDRESS(myRAND(1,H$2,H$8:H$9)+5,H$1))</f>
        <v>0</v>
      </c>
      <c r="I129" cm="1">
        <f t="array" aca="1" ref="I129" ca="1">INDIRECT(ADDRESS(myRAND(1,I$2,I$8:I$9)+5,I$1))</f>
        <v>1</v>
      </c>
      <c r="J129">
        <f t="shared" ca="1" si="0"/>
        <v>14</v>
      </c>
      <c r="K129">
        <f t="shared" ca="1" si="0"/>
        <v>186</v>
      </c>
      <c r="L129" s="3">
        <f t="shared" ca="1" si="12"/>
        <v>3</v>
      </c>
      <c r="M129" s="13">
        <f t="shared" ca="1" si="13"/>
        <v>0.3941263315682394</v>
      </c>
      <c r="N129">
        <f t="shared" ca="1" si="14"/>
        <v>-0.43000000000000016</v>
      </c>
      <c r="O129">
        <f t="shared" ca="1" si="15"/>
        <v>0</v>
      </c>
      <c r="P129">
        <f t="shared" ca="1" si="16"/>
        <v>1</v>
      </c>
      <c r="Q129">
        <f t="shared" ca="1" si="17"/>
        <v>0</v>
      </c>
      <c r="R129">
        <f t="shared" ca="1" si="18"/>
        <v>0</v>
      </c>
      <c r="S129">
        <f t="shared" ca="1" si="19"/>
        <v>1</v>
      </c>
      <c r="T129" s="17">
        <f t="shared" ca="1" si="20"/>
        <v>4.652857142857143</v>
      </c>
    </row>
    <row r="130" spans="2:20" x14ac:dyDescent="0.3">
      <c r="B130">
        <f t="shared" ca="1" si="11"/>
        <v>42</v>
      </c>
      <c r="C130" cm="1">
        <f t="array" aca="1" ref="C130" ca="1">INDIRECT(ADDRESS(myRAND(1,C$2,C$8:C$9)+5,C$1))</f>
        <v>0</v>
      </c>
      <c r="D130" cm="1">
        <f t="array" aca="1" ref="D130" ca="1">INDIRECT(ADDRESS(myRAND(1,D$2,D$8:D$9)+5,D$1))</f>
        <v>1</v>
      </c>
      <c r="E130" cm="1">
        <f t="array" aca="1" ref="E130" ca="1">INDIRECT(ADDRESS(myRAND(1,E$2,E$8:E$9)+5,E$1))</f>
        <v>1</v>
      </c>
      <c r="F130" cm="1">
        <f t="array" aca="1" ref="F130" ca="1">INDIRECT(ADDRESS(myRAND(1,F$2,F$8:F$9)+5,F$1))</f>
        <v>0</v>
      </c>
      <c r="G130" cm="1">
        <f t="array" aca="1" ref="G130" ca="1">INDIRECT(ADDRESS(myRAND(1,G$2,G$8:G$9)+5,G$1))</f>
        <v>0</v>
      </c>
      <c r="H130" cm="1">
        <f t="array" aca="1" ref="H130" ca="1">INDIRECT(ADDRESS(myRAND(1,H$2,H$8:H$9)+5,H$1))</f>
        <v>1</v>
      </c>
      <c r="I130" cm="1">
        <f t="array" aca="1" ref="I130" ca="1">INDIRECT(ADDRESS(myRAND(1,I$2,I$8:I$9)+5,I$1))</f>
        <v>1</v>
      </c>
      <c r="J130">
        <f t="shared" ca="1" si="0"/>
        <v>15</v>
      </c>
      <c r="K130">
        <f t="shared" ca="1" si="0"/>
        <v>189</v>
      </c>
      <c r="L130" s="3">
        <f t="shared" ca="1" si="12"/>
        <v>2</v>
      </c>
      <c r="M130" s="13">
        <f t="shared" ca="1" si="13"/>
        <v>0.31216866941715948</v>
      </c>
      <c r="N130">
        <f t="shared" ca="1" si="14"/>
        <v>-0.79000000000000048</v>
      </c>
      <c r="O130">
        <f t="shared" ca="1" si="15"/>
        <v>0</v>
      </c>
      <c r="P130">
        <f t="shared" ca="1" si="16"/>
        <v>1</v>
      </c>
      <c r="Q130">
        <f t="shared" ca="1" si="17"/>
        <v>0</v>
      </c>
      <c r="R130">
        <f t="shared" ca="1" si="18"/>
        <v>0</v>
      </c>
      <c r="S130">
        <f t="shared" ca="1" si="19"/>
        <v>2</v>
      </c>
      <c r="T130" s="17">
        <f t="shared" ca="1" si="20"/>
        <v>4.6438095238095238</v>
      </c>
    </row>
    <row r="131" spans="2:20" x14ac:dyDescent="0.3">
      <c r="B131">
        <f t="shared" ca="1" si="11"/>
        <v>35</v>
      </c>
      <c r="C131" cm="1">
        <f t="array" aca="1" ref="C131" ca="1">INDIRECT(ADDRESS(myRAND(1,C$2,C$8:C$9)+5,C$1))</f>
        <v>1</v>
      </c>
      <c r="D131" cm="1">
        <f t="array" aca="1" ref="D131" ca="1">INDIRECT(ADDRESS(myRAND(1,D$2,D$8:D$9)+5,D$1))</f>
        <v>1</v>
      </c>
      <c r="E131" cm="1">
        <f t="array" aca="1" ref="E131" ca="1">INDIRECT(ADDRESS(myRAND(1,E$2,E$8:E$9)+5,E$1))</f>
        <v>1</v>
      </c>
      <c r="F131" cm="1">
        <f t="array" aca="1" ref="F131" ca="1">INDIRECT(ADDRESS(myRAND(1,F$2,F$8:F$9)+5,F$1))</f>
        <v>0</v>
      </c>
      <c r="G131" cm="1">
        <f t="array" aca="1" ref="G131" ca="1">INDIRECT(ADDRESS(myRAND(1,G$2,G$8:G$9)+5,G$1))</f>
        <v>0</v>
      </c>
      <c r="H131" cm="1">
        <f t="array" aca="1" ref="H131" ca="1">INDIRECT(ADDRESS(myRAND(1,H$2,H$8:H$9)+5,H$1))</f>
        <v>0</v>
      </c>
      <c r="I131" cm="1">
        <f t="array" aca="1" ref="I131" ca="1">INDIRECT(ADDRESS(myRAND(1,I$2,I$8:I$9)+5,I$1))</f>
        <v>1</v>
      </c>
      <c r="J131">
        <f t="shared" ca="1" si="0"/>
        <v>12</v>
      </c>
      <c r="K131">
        <f t="shared" ca="1" si="0"/>
        <v>188</v>
      </c>
      <c r="L131" s="3">
        <f t="shared" ca="1" si="12"/>
        <v>2</v>
      </c>
      <c r="M131" s="13">
        <f t="shared" ca="1" si="13"/>
        <v>0.56709290496545439</v>
      </c>
      <c r="N131">
        <f t="shared" ca="1" si="14"/>
        <v>0.27000000000000024</v>
      </c>
      <c r="O131">
        <f t="shared" ca="1" si="15"/>
        <v>0</v>
      </c>
      <c r="P131">
        <f t="shared" ca="1" si="16"/>
        <v>1</v>
      </c>
      <c r="Q131">
        <f t="shared" ca="1" si="17"/>
        <v>0</v>
      </c>
      <c r="R131">
        <f t="shared" ca="1" si="18"/>
        <v>0</v>
      </c>
      <c r="S131">
        <f t="shared" ca="1" si="19"/>
        <v>1</v>
      </c>
      <c r="T131" s="17">
        <f t="shared" ca="1" si="20"/>
        <v>5.3690476190476186</v>
      </c>
    </row>
    <row r="132" spans="2:20" x14ac:dyDescent="0.3">
      <c r="B132">
        <f t="shared" ca="1" si="11"/>
        <v>59</v>
      </c>
      <c r="C132" cm="1">
        <f t="array" aca="1" ref="C132" ca="1">INDIRECT(ADDRESS(myRAND(1,C$2,C$8:C$9)+5,C$1))</f>
        <v>0</v>
      </c>
      <c r="D132" cm="1">
        <f t="array" aca="1" ref="D132" ca="1">INDIRECT(ADDRESS(myRAND(1,D$2,D$8:D$9)+5,D$1))</f>
        <v>0</v>
      </c>
      <c r="E132" cm="1">
        <f t="array" aca="1" ref="E132" ca="1">INDIRECT(ADDRESS(myRAND(1,E$2,E$8:E$9)+5,E$1))</f>
        <v>0</v>
      </c>
      <c r="F132" cm="1">
        <f t="array" aca="1" ref="F132" ca="1">INDIRECT(ADDRESS(myRAND(1,F$2,F$8:F$9)+5,F$1))</f>
        <v>0</v>
      </c>
      <c r="G132" cm="1">
        <f t="array" aca="1" ref="G132" ca="1">INDIRECT(ADDRESS(myRAND(1,G$2,G$8:G$9)+5,G$1))</f>
        <v>0</v>
      </c>
      <c r="H132" cm="1">
        <f t="array" aca="1" ref="H132" ca="1">INDIRECT(ADDRESS(myRAND(1,H$2,H$8:H$9)+5,H$1))</f>
        <v>0</v>
      </c>
      <c r="I132" cm="1">
        <f t="array" aca="1" ref="I132" ca="1">INDIRECT(ADDRESS(myRAND(1,I$2,I$8:I$9)+5,I$1))</f>
        <v>0</v>
      </c>
      <c r="J132">
        <f t="shared" ca="1" si="0"/>
        <v>13</v>
      </c>
      <c r="K132">
        <f t="shared" ca="1" si="0"/>
        <v>195</v>
      </c>
      <c r="L132" s="3">
        <f t="shared" ca="1" si="12"/>
        <v>1</v>
      </c>
      <c r="M132" s="13">
        <f t="shared" ca="1" si="13"/>
        <v>0.11815697780926952</v>
      </c>
      <c r="N132">
        <f t="shared" ca="1" si="14"/>
        <v>-2.0100000000000002</v>
      </c>
      <c r="O132">
        <f t="shared" ca="1" si="15"/>
        <v>0</v>
      </c>
      <c r="P132">
        <f t="shared" ca="1" si="16"/>
        <v>0</v>
      </c>
      <c r="Q132">
        <f t="shared" ca="1" si="17"/>
        <v>0</v>
      </c>
      <c r="R132">
        <f t="shared" ca="1" si="18"/>
        <v>1</v>
      </c>
      <c r="S132">
        <f t="shared" ca="1" si="19"/>
        <v>0</v>
      </c>
      <c r="T132" s="17">
        <f t="shared" ca="1" si="20"/>
        <v>1.7090476190476191</v>
      </c>
    </row>
    <row r="133" spans="2:20" x14ac:dyDescent="0.3">
      <c r="B133">
        <f t="shared" ca="1" si="11"/>
        <v>42</v>
      </c>
      <c r="C133" cm="1">
        <f t="array" aca="1" ref="C133" ca="1">INDIRECT(ADDRESS(myRAND(1,C$2,C$8:C$9)+5,C$1))</f>
        <v>1</v>
      </c>
      <c r="D133" cm="1">
        <f t="array" aca="1" ref="D133" ca="1">INDIRECT(ADDRESS(myRAND(1,D$2,D$8:D$9)+5,D$1))</f>
        <v>0</v>
      </c>
      <c r="E133" cm="1">
        <f t="array" aca="1" ref="E133" ca="1">INDIRECT(ADDRESS(myRAND(1,E$2,E$8:E$9)+5,E$1))</f>
        <v>1</v>
      </c>
      <c r="F133" cm="1">
        <f t="array" aca="1" ref="F133" ca="1">INDIRECT(ADDRESS(myRAND(1,F$2,F$8:F$9)+5,F$1))</f>
        <v>1</v>
      </c>
      <c r="G133" cm="1">
        <f t="array" aca="1" ref="G133" ca="1">INDIRECT(ADDRESS(myRAND(1,G$2,G$8:G$9)+5,G$1))</f>
        <v>0</v>
      </c>
      <c r="H133" cm="1">
        <f t="array" aca="1" ref="H133" ca="1">INDIRECT(ADDRESS(myRAND(1,H$2,H$8:H$9)+5,H$1))</f>
        <v>1</v>
      </c>
      <c r="I133" cm="1">
        <f t="array" aca="1" ref="I133" ca="1">INDIRECT(ADDRESS(myRAND(1,I$2,I$8:I$9)+5,I$1))</f>
        <v>1</v>
      </c>
      <c r="J133">
        <f t="shared" ca="1" si="0"/>
        <v>15</v>
      </c>
      <c r="K133">
        <f t="shared" ca="1" si="0"/>
        <v>201</v>
      </c>
      <c r="L133" s="3">
        <f t="shared" ca="1" si="12"/>
        <v>3</v>
      </c>
      <c r="M133" s="13">
        <f t="shared" ca="1" si="13"/>
        <v>0.63413559101080064</v>
      </c>
      <c r="N133">
        <f t="shared" ca="1" si="14"/>
        <v>0.5499999999999996</v>
      </c>
      <c r="O133">
        <f t="shared" ca="1" si="15"/>
        <v>0</v>
      </c>
      <c r="P133">
        <f t="shared" ca="1" si="16"/>
        <v>1</v>
      </c>
      <c r="Q133">
        <f t="shared" ca="1" si="17"/>
        <v>0</v>
      </c>
      <c r="R133">
        <f t="shared" ca="1" si="18"/>
        <v>0</v>
      </c>
      <c r="S133">
        <f t="shared" ca="1" si="19"/>
        <v>2</v>
      </c>
      <c r="T133" s="17">
        <f t="shared" ca="1" si="20"/>
        <v>5.7009523809523808</v>
      </c>
    </row>
    <row r="134" spans="2:20" x14ac:dyDescent="0.3">
      <c r="B134">
        <f t="shared" ca="1" si="11"/>
        <v>59</v>
      </c>
      <c r="C134" cm="1">
        <f t="array" aca="1" ref="C134" ca="1">INDIRECT(ADDRESS(myRAND(1,C$2,C$8:C$9)+5,C$1))</f>
        <v>1</v>
      </c>
      <c r="D134" cm="1">
        <f t="array" aca="1" ref="D134" ca="1">INDIRECT(ADDRESS(myRAND(1,D$2,D$8:D$9)+5,D$1))</f>
        <v>0</v>
      </c>
      <c r="E134" cm="1">
        <f t="array" aca="1" ref="E134" ca="1">INDIRECT(ADDRESS(myRAND(1,E$2,E$8:E$9)+5,E$1))</f>
        <v>1</v>
      </c>
      <c r="F134" cm="1">
        <f t="array" aca="1" ref="F134" ca="1">INDIRECT(ADDRESS(myRAND(1,F$2,F$8:F$9)+5,F$1))</f>
        <v>0</v>
      </c>
      <c r="G134" cm="1">
        <f t="array" aca="1" ref="G134" ca="1">INDIRECT(ADDRESS(myRAND(1,G$2,G$8:G$9)+5,G$1))</f>
        <v>1</v>
      </c>
      <c r="H134" cm="1">
        <f t="array" aca="1" ref="H134" ca="1">INDIRECT(ADDRESS(myRAND(1,H$2,H$8:H$9)+5,H$1))</f>
        <v>0</v>
      </c>
      <c r="I134" cm="1">
        <f t="array" aca="1" ref="I134" ca="1">INDIRECT(ADDRESS(myRAND(1,I$2,I$8:I$9)+5,I$1))</f>
        <v>1</v>
      </c>
      <c r="J134">
        <f t="shared" ca="1" si="0"/>
        <v>13</v>
      </c>
      <c r="K134">
        <f t="shared" ca="1" si="0"/>
        <v>222</v>
      </c>
      <c r="L134" s="3">
        <f t="shared" ca="1" si="12"/>
        <v>3</v>
      </c>
      <c r="M134" s="13">
        <f t="shared" ca="1" si="13"/>
        <v>0.3384968407970475</v>
      </c>
      <c r="N134">
        <f t="shared" ca="1" si="14"/>
        <v>-0.67000000000000015</v>
      </c>
      <c r="O134">
        <f t="shared" ca="1" si="15"/>
        <v>0</v>
      </c>
      <c r="P134">
        <f t="shared" ca="1" si="16"/>
        <v>0</v>
      </c>
      <c r="Q134">
        <f t="shared" ca="1" si="17"/>
        <v>1</v>
      </c>
      <c r="R134">
        <f t="shared" ca="1" si="18"/>
        <v>0</v>
      </c>
      <c r="S134">
        <f t="shared" ca="1" si="19"/>
        <v>2</v>
      </c>
      <c r="T134" s="17">
        <f t="shared" ca="1" si="20"/>
        <v>5.8376190476190484</v>
      </c>
    </row>
    <row r="135" spans="2:20" x14ac:dyDescent="0.3">
      <c r="B135">
        <f t="shared" ca="1" si="11"/>
        <v>60</v>
      </c>
      <c r="C135" cm="1">
        <f t="array" aca="1" ref="C135" ca="1">INDIRECT(ADDRESS(myRAND(1,C$2,C$8:C$9)+5,C$1))</f>
        <v>0</v>
      </c>
      <c r="D135" cm="1">
        <f t="array" aca="1" ref="D135" ca="1">INDIRECT(ADDRESS(myRAND(1,D$2,D$8:D$9)+5,D$1))</f>
        <v>0</v>
      </c>
      <c r="E135" cm="1">
        <f t="array" aca="1" ref="E135" ca="1">INDIRECT(ADDRESS(myRAND(1,E$2,E$8:E$9)+5,E$1))</f>
        <v>0</v>
      </c>
      <c r="F135" cm="1">
        <f t="array" aca="1" ref="F135" ca="1">INDIRECT(ADDRESS(myRAND(1,F$2,F$8:F$9)+5,F$1))</f>
        <v>0</v>
      </c>
      <c r="G135" cm="1">
        <f t="array" aca="1" ref="G135" ca="1">INDIRECT(ADDRESS(myRAND(1,G$2,G$8:G$9)+5,G$1))</f>
        <v>0</v>
      </c>
      <c r="H135" cm="1">
        <f t="array" aca="1" ref="H135" ca="1">INDIRECT(ADDRESS(myRAND(1,H$2,H$8:H$9)+5,H$1))</f>
        <v>1</v>
      </c>
      <c r="I135" cm="1">
        <f t="array" aca="1" ref="I135" ca="1">INDIRECT(ADDRESS(myRAND(1,I$2,I$8:I$9)+5,I$1))</f>
        <v>1</v>
      </c>
      <c r="J135">
        <f t="shared" ca="1" si="0"/>
        <v>15</v>
      </c>
      <c r="K135">
        <f t="shared" ca="1" si="0"/>
        <v>202</v>
      </c>
      <c r="L135" s="3">
        <f t="shared" ca="1" si="12"/>
        <v>3</v>
      </c>
      <c r="M135" s="13">
        <f t="shared" ca="1" si="13"/>
        <v>0.12238888682304884</v>
      </c>
      <c r="N135">
        <f t="shared" ca="1" si="14"/>
        <v>-1.9700000000000002</v>
      </c>
      <c r="O135">
        <f t="shared" ca="1" si="15"/>
        <v>0</v>
      </c>
      <c r="P135">
        <f t="shared" ca="1" si="16"/>
        <v>0</v>
      </c>
      <c r="Q135">
        <f t="shared" ca="1" si="17"/>
        <v>0</v>
      </c>
      <c r="R135">
        <f t="shared" ca="1" si="18"/>
        <v>1</v>
      </c>
      <c r="S135">
        <f t="shared" ca="1" si="19"/>
        <v>2</v>
      </c>
      <c r="T135" s="17">
        <f t="shared" ca="1" si="20"/>
        <v>4.8857142857142861</v>
      </c>
    </row>
    <row r="136" spans="2:20" x14ac:dyDescent="0.3">
      <c r="B136">
        <f t="shared" ca="1" si="11"/>
        <v>63</v>
      </c>
      <c r="C136" cm="1">
        <f t="array" aca="1" ref="C136" ca="1">INDIRECT(ADDRESS(myRAND(1,C$2,C$8:C$9)+5,C$1))</f>
        <v>0</v>
      </c>
      <c r="D136" cm="1">
        <f t="array" aca="1" ref="D136" ca="1">INDIRECT(ADDRESS(myRAND(1,D$2,D$8:D$9)+5,D$1))</f>
        <v>0</v>
      </c>
      <c r="E136" cm="1">
        <f t="array" aca="1" ref="E136" ca="1">INDIRECT(ADDRESS(myRAND(1,E$2,E$8:E$9)+5,E$1))</f>
        <v>0</v>
      </c>
      <c r="F136" cm="1">
        <f t="array" aca="1" ref="F136" ca="1">INDIRECT(ADDRESS(myRAND(1,F$2,F$8:F$9)+5,F$1))</f>
        <v>1</v>
      </c>
      <c r="G136" cm="1">
        <f t="array" aca="1" ref="G136" ca="1">INDIRECT(ADDRESS(myRAND(1,G$2,G$8:G$9)+5,G$1))</f>
        <v>1</v>
      </c>
      <c r="H136" cm="1">
        <f t="array" aca="1" ref="H136" ca="1">INDIRECT(ADDRESS(myRAND(1,H$2,H$8:H$9)+5,H$1))</f>
        <v>1</v>
      </c>
      <c r="I136" cm="1">
        <f t="array" aca="1" ref="I136" ca="1">INDIRECT(ADDRESS(myRAND(1,I$2,I$8:I$9)+5,I$1))</f>
        <v>0</v>
      </c>
      <c r="J136">
        <f t="shared" ca="1" si="0"/>
        <v>17</v>
      </c>
      <c r="K136">
        <f t="shared" ca="1" si="0"/>
        <v>244</v>
      </c>
      <c r="L136" s="3">
        <f t="shared" ca="1" si="12"/>
        <v>1</v>
      </c>
      <c r="M136" s="13">
        <f t="shared" ca="1" si="13"/>
        <v>0.13587289700909427</v>
      </c>
      <c r="N136">
        <f t="shared" ca="1" si="14"/>
        <v>-1.85</v>
      </c>
      <c r="O136">
        <f t="shared" ca="1" si="15"/>
        <v>0</v>
      </c>
      <c r="P136">
        <f t="shared" ca="1" si="16"/>
        <v>0</v>
      </c>
      <c r="Q136">
        <f t="shared" ca="1" si="17"/>
        <v>1</v>
      </c>
      <c r="R136">
        <f t="shared" ca="1" si="18"/>
        <v>0</v>
      </c>
      <c r="S136">
        <f t="shared" ca="1" si="19"/>
        <v>2</v>
      </c>
      <c r="T136" s="17">
        <f t="shared" ca="1" si="20"/>
        <v>2.249047619047619</v>
      </c>
    </row>
    <row r="137" spans="2:20" x14ac:dyDescent="0.3">
      <c r="B137">
        <f t="shared" ca="1" si="11"/>
        <v>58</v>
      </c>
      <c r="C137" cm="1">
        <f t="array" aca="1" ref="C137" ca="1">INDIRECT(ADDRESS(myRAND(1,C$2,C$8:C$9)+5,C$1))</f>
        <v>1</v>
      </c>
      <c r="D137" cm="1">
        <f t="array" aca="1" ref="D137" ca="1">INDIRECT(ADDRESS(myRAND(1,D$2,D$8:D$9)+5,D$1))</f>
        <v>1</v>
      </c>
      <c r="E137" cm="1">
        <f t="array" aca="1" ref="E137" ca="1">INDIRECT(ADDRESS(myRAND(1,E$2,E$8:E$9)+5,E$1))</f>
        <v>0</v>
      </c>
      <c r="F137" cm="1">
        <f t="array" aca="1" ref="F137" ca="1">INDIRECT(ADDRESS(myRAND(1,F$2,F$8:F$9)+5,F$1))</f>
        <v>0</v>
      </c>
      <c r="G137" cm="1">
        <f t="array" aca="1" ref="G137" ca="1">INDIRECT(ADDRESS(myRAND(1,G$2,G$8:G$9)+5,G$1))</f>
        <v>0</v>
      </c>
      <c r="H137" cm="1">
        <f t="array" aca="1" ref="H137" ca="1">INDIRECT(ADDRESS(myRAND(1,H$2,H$8:H$9)+5,H$1))</f>
        <v>0</v>
      </c>
      <c r="I137" cm="1">
        <f t="array" aca="1" ref="I137" ca="1">INDIRECT(ADDRESS(myRAND(1,I$2,I$8:I$9)+5,I$1))</f>
        <v>1</v>
      </c>
      <c r="J137">
        <f t="shared" ca="1" si="0"/>
        <v>13</v>
      </c>
      <c r="K137">
        <f t="shared" ca="1" si="0"/>
        <v>199</v>
      </c>
      <c r="L137" s="3">
        <f t="shared" ca="1" si="12"/>
        <v>2</v>
      </c>
      <c r="M137" s="13">
        <f t="shared" ca="1" si="13"/>
        <v>0.32959884019113139</v>
      </c>
      <c r="N137">
        <f t="shared" ca="1" si="14"/>
        <v>-0.71000000000000019</v>
      </c>
      <c r="O137">
        <f t="shared" ca="1" si="15"/>
        <v>0</v>
      </c>
      <c r="P137">
        <f t="shared" ca="1" si="16"/>
        <v>0</v>
      </c>
      <c r="Q137">
        <f t="shared" ca="1" si="17"/>
        <v>1</v>
      </c>
      <c r="R137">
        <f t="shared" ca="1" si="18"/>
        <v>0</v>
      </c>
      <c r="S137">
        <f t="shared" ca="1" si="19"/>
        <v>1</v>
      </c>
      <c r="T137" s="17">
        <f t="shared" ca="1" si="20"/>
        <v>5.7180952380952377</v>
      </c>
    </row>
    <row r="138" spans="2:20" x14ac:dyDescent="0.3">
      <c r="B138">
        <f t="shared" ca="1" si="11"/>
        <v>54</v>
      </c>
      <c r="C138" cm="1">
        <f t="array" aca="1" ref="C138" ca="1">INDIRECT(ADDRESS(myRAND(1,C$2,C$8:C$9)+5,C$1))</f>
        <v>0</v>
      </c>
      <c r="D138" cm="1">
        <f t="array" aca="1" ref="D138" ca="1">INDIRECT(ADDRESS(myRAND(1,D$2,D$8:D$9)+5,D$1))</f>
        <v>0</v>
      </c>
      <c r="E138" cm="1">
        <f t="array" aca="1" ref="E138" ca="1">INDIRECT(ADDRESS(myRAND(1,E$2,E$8:E$9)+5,E$1))</f>
        <v>1</v>
      </c>
      <c r="F138" cm="1">
        <f t="array" aca="1" ref="F138" ca="1">INDIRECT(ADDRESS(myRAND(1,F$2,F$8:F$9)+5,F$1))</f>
        <v>0</v>
      </c>
      <c r="G138" cm="1">
        <f t="array" aca="1" ref="G138" ca="1">INDIRECT(ADDRESS(myRAND(1,G$2,G$8:G$9)+5,G$1))</f>
        <v>1</v>
      </c>
      <c r="H138" cm="1">
        <f t="array" aca="1" ref="H138" ca="1">INDIRECT(ADDRESS(myRAND(1,H$2,H$8:H$9)+5,H$1))</f>
        <v>0</v>
      </c>
      <c r="I138" cm="1">
        <f t="array" aca="1" ref="I138" ca="1">INDIRECT(ADDRESS(myRAND(1,I$2,I$8:I$9)+5,I$1))</f>
        <v>1</v>
      </c>
      <c r="J138">
        <f t="shared" ca="1" si="0"/>
        <v>14</v>
      </c>
      <c r="K138">
        <f t="shared" ca="1" si="0"/>
        <v>199</v>
      </c>
      <c r="L138" s="3">
        <f t="shared" ca="1" si="12"/>
        <v>1</v>
      </c>
      <c r="M138" s="13">
        <f t="shared" ca="1" si="13"/>
        <v>9.8856073178169385E-2</v>
      </c>
      <c r="N138">
        <f t="shared" ca="1" si="14"/>
        <v>-2.21</v>
      </c>
      <c r="O138">
        <f t="shared" ca="1" si="15"/>
        <v>0</v>
      </c>
      <c r="P138">
        <f t="shared" ca="1" si="16"/>
        <v>0</v>
      </c>
      <c r="Q138">
        <f t="shared" ca="1" si="17"/>
        <v>1</v>
      </c>
      <c r="R138">
        <f t="shared" ca="1" si="18"/>
        <v>0</v>
      </c>
      <c r="S138">
        <f t="shared" ca="1" si="19"/>
        <v>2</v>
      </c>
      <c r="T138" s="17">
        <f t="shared" ca="1" si="20"/>
        <v>4.744761904761905</v>
      </c>
    </row>
    <row r="139" spans="2:20" x14ac:dyDescent="0.3">
      <c r="B139">
        <f t="shared" ca="1" si="11"/>
        <v>36</v>
      </c>
      <c r="C139" cm="1">
        <f t="array" aca="1" ref="C139" ca="1">INDIRECT(ADDRESS(myRAND(1,C$2,C$8:C$9)+5,C$1))</f>
        <v>1</v>
      </c>
      <c r="D139" cm="1">
        <f t="array" aca="1" ref="D139" ca="1">INDIRECT(ADDRESS(myRAND(1,D$2,D$8:D$9)+5,D$1))</f>
        <v>0</v>
      </c>
      <c r="E139" cm="1">
        <f t="array" aca="1" ref="E139" ca="1">INDIRECT(ADDRESS(myRAND(1,E$2,E$8:E$9)+5,E$1))</f>
        <v>0</v>
      </c>
      <c r="F139" cm="1">
        <f t="array" aca="1" ref="F139" ca="1">INDIRECT(ADDRESS(myRAND(1,F$2,F$8:F$9)+5,F$1))</f>
        <v>1</v>
      </c>
      <c r="G139" cm="1">
        <f t="array" aca="1" ref="G139" ca="1">INDIRECT(ADDRESS(myRAND(1,G$2,G$8:G$9)+5,G$1))</f>
        <v>0</v>
      </c>
      <c r="H139" cm="1">
        <f t="array" aca="1" ref="H139" ca="1">INDIRECT(ADDRESS(myRAND(1,H$2,H$8:H$9)+5,H$1))</f>
        <v>0</v>
      </c>
      <c r="I139" cm="1">
        <f t="array" aca="1" ref="I139" ca="1">INDIRECT(ADDRESS(myRAND(1,I$2,I$8:I$9)+5,I$1))</f>
        <v>0</v>
      </c>
      <c r="J139">
        <f t="shared" ca="1" si="0"/>
        <v>21</v>
      </c>
      <c r="K139">
        <f t="shared" ca="1" si="0"/>
        <v>231</v>
      </c>
      <c r="L139" s="3">
        <f t="shared" ca="1" si="12"/>
        <v>3</v>
      </c>
      <c r="M139" s="13">
        <f t="shared" ca="1" si="13"/>
        <v>0.1693838969340187</v>
      </c>
      <c r="N139">
        <f t="shared" ca="1" si="14"/>
        <v>-1.59</v>
      </c>
      <c r="O139">
        <f t="shared" ca="1" si="15"/>
        <v>0</v>
      </c>
      <c r="P139">
        <f t="shared" ca="1" si="16"/>
        <v>0</v>
      </c>
      <c r="Q139">
        <f t="shared" ca="1" si="17"/>
        <v>1</v>
      </c>
      <c r="R139">
        <f t="shared" ca="1" si="18"/>
        <v>0</v>
      </c>
      <c r="S139">
        <f t="shared" ca="1" si="19"/>
        <v>0</v>
      </c>
      <c r="T139" s="17">
        <f t="shared" ca="1" si="20"/>
        <v>3.1838095238095239</v>
      </c>
    </row>
    <row r="140" spans="2:20" x14ac:dyDescent="0.3">
      <c r="B140">
        <f t="shared" ca="1" si="11"/>
        <v>45</v>
      </c>
      <c r="C140" cm="1">
        <f t="array" aca="1" ref="C140" ca="1">INDIRECT(ADDRESS(myRAND(1,C$2,C$8:C$9)+5,C$1))</f>
        <v>1</v>
      </c>
      <c r="D140" cm="1">
        <f t="array" aca="1" ref="D140" ca="1">INDIRECT(ADDRESS(myRAND(1,D$2,D$8:D$9)+5,D$1))</f>
        <v>0</v>
      </c>
      <c r="E140" cm="1">
        <f t="array" aca="1" ref="E140" ca="1">INDIRECT(ADDRESS(myRAND(1,E$2,E$8:E$9)+5,E$1))</f>
        <v>1</v>
      </c>
      <c r="F140" cm="1">
        <f t="array" aca="1" ref="F140" ca="1">INDIRECT(ADDRESS(myRAND(1,F$2,F$8:F$9)+5,F$1))</f>
        <v>1</v>
      </c>
      <c r="G140" cm="1">
        <f t="array" aca="1" ref="G140" ca="1">INDIRECT(ADDRESS(myRAND(1,G$2,G$8:G$9)+5,G$1))</f>
        <v>0</v>
      </c>
      <c r="H140" cm="1">
        <f t="array" aca="1" ref="H140" ca="1">INDIRECT(ADDRESS(myRAND(1,H$2,H$8:H$9)+5,H$1))</f>
        <v>0</v>
      </c>
      <c r="I140" cm="1">
        <f t="array" aca="1" ref="I140" ca="1">INDIRECT(ADDRESS(myRAND(1,I$2,I$8:I$9)+5,I$1))</f>
        <v>0</v>
      </c>
      <c r="J140">
        <f t="shared" ca="1" si="0"/>
        <v>14</v>
      </c>
      <c r="K140">
        <f t="shared" ca="1" si="0"/>
        <v>171</v>
      </c>
      <c r="L140" s="3">
        <f t="shared" ca="1" si="12"/>
        <v>3</v>
      </c>
      <c r="M140" s="13">
        <f t="shared" ca="1" si="13"/>
        <v>0.66150315920295233</v>
      </c>
      <c r="N140">
        <f t="shared" ca="1" si="14"/>
        <v>0.66999999999999971</v>
      </c>
      <c r="O140">
        <f t="shared" ca="1" si="15"/>
        <v>0</v>
      </c>
      <c r="P140">
        <f t="shared" ca="1" si="16"/>
        <v>1</v>
      </c>
      <c r="Q140">
        <f t="shared" ca="1" si="17"/>
        <v>0</v>
      </c>
      <c r="R140">
        <f t="shared" ca="1" si="18"/>
        <v>0</v>
      </c>
      <c r="S140">
        <f t="shared" ca="1" si="19"/>
        <v>0</v>
      </c>
      <c r="T140" s="17">
        <f t="shared" ca="1" si="20"/>
        <v>2.5214285714285714</v>
      </c>
    </row>
    <row r="141" spans="2:20" x14ac:dyDescent="0.3">
      <c r="B141">
        <f t="shared" ca="1" si="11"/>
        <v>47</v>
      </c>
      <c r="C141" cm="1">
        <f t="array" aca="1" ref="C141" ca="1">INDIRECT(ADDRESS(myRAND(1,C$2,C$8:C$9)+5,C$1))</f>
        <v>0</v>
      </c>
      <c r="D141" cm="1">
        <f t="array" aca="1" ref="D141" ca="1">INDIRECT(ADDRESS(myRAND(1,D$2,D$8:D$9)+5,D$1))</f>
        <v>0</v>
      </c>
      <c r="E141" cm="1">
        <f t="array" aca="1" ref="E141" ca="1">INDIRECT(ADDRESS(myRAND(1,E$2,E$8:E$9)+5,E$1))</f>
        <v>1</v>
      </c>
      <c r="F141" cm="1">
        <f t="array" aca="1" ref="F141" ca="1">INDIRECT(ADDRESS(myRAND(1,F$2,F$8:F$9)+5,F$1))</f>
        <v>1</v>
      </c>
      <c r="G141" cm="1">
        <f t="array" aca="1" ref="G141" ca="1">INDIRECT(ADDRESS(myRAND(1,G$2,G$8:G$9)+5,G$1))</f>
        <v>0</v>
      </c>
      <c r="H141" cm="1">
        <f t="array" aca="1" ref="H141" ca="1">INDIRECT(ADDRESS(myRAND(1,H$2,H$8:H$9)+5,H$1))</f>
        <v>0</v>
      </c>
      <c r="I141" cm="1">
        <f t="array" aca="1" ref="I141" ca="1">INDIRECT(ADDRESS(myRAND(1,I$2,I$8:I$9)+5,I$1))</f>
        <v>1</v>
      </c>
      <c r="J141">
        <f t="shared" ca="1" si="0"/>
        <v>16</v>
      </c>
      <c r="K141">
        <f t="shared" ca="1" si="0"/>
        <v>217</v>
      </c>
      <c r="L141" s="3">
        <f t="shared" ca="1" si="12"/>
        <v>3</v>
      </c>
      <c r="M141" s="13">
        <f t="shared" ca="1" si="13"/>
        <v>0.35663485430559816</v>
      </c>
      <c r="N141">
        <f t="shared" ca="1" si="14"/>
        <v>-0.5900000000000003</v>
      </c>
      <c r="O141">
        <f t="shared" ca="1" si="15"/>
        <v>0</v>
      </c>
      <c r="P141">
        <f t="shared" ca="1" si="16"/>
        <v>1</v>
      </c>
      <c r="Q141">
        <f t="shared" ca="1" si="17"/>
        <v>0</v>
      </c>
      <c r="R141">
        <f t="shared" ca="1" si="18"/>
        <v>0</v>
      </c>
      <c r="S141">
        <f t="shared" ca="1" si="19"/>
        <v>1</v>
      </c>
      <c r="T141" s="17">
        <f t="shared" ca="1" si="20"/>
        <v>4.8938095238095238</v>
      </c>
    </row>
    <row r="142" spans="2:20" x14ac:dyDescent="0.3">
      <c r="B142">
        <f t="shared" ca="1" si="11"/>
        <v>60</v>
      </c>
      <c r="C142" cm="1">
        <f t="array" aca="1" ref="C142" ca="1">INDIRECT(ADDRESS(myRAND(1,C$2,C$8:C$9)+5,C$1))</f>
        <v>1</v>
      </c>
      <c r="D142" cm="1">
        <f t="array" aca="1" ref="D142" ca="1">INDIRECT(ADDRESS(myRAND(1,D$2,D$8:D$9)+5,D$1))</f>
        <v>0</v>
      </c>
      <c r="E142" cm="1">
        <f t="array" aca="1" ref="E142" ca="1">INDIRECT(ADDRESS(myRAND(1,E$2,E$8:E$9)+5,E$1))</f>
        <v>1</v>
      </c>
      <c r="F142" cm="1">
        <f t="array" aca="1" ref="F142" ca="1">INDIRECT(ADDRESS(myRAND(1,F$2,F$8:F$9)+5,F$1))</f>
        <v>1</v>
      </c>
      <c r="G142" cm="1">
        <f t="array" aca="1" ref="G142" ca="1">INDIRECT(ADDRESS(myRAND(1,G$2,G$8:G$9)+5,G$1))</f>
        <v>0</v>
      </c>
      <c r="H142" cm="1">
        <f t="array" aca="1" ref="H142" ca="1">INDIRECT(ADDRESS(myRAND(1,H$2,H$8:H$9)+5,H$1))</f>
        <v>0</v>
      </c>
      <c r="I142" cm="1">
        <f t="array" aca="1" ref="I142" ca="1">INDIRECT(ADDRESS(myRAND(1,I$2,I$8:I$9)+5,I$1))</f>
        <v>1</v>
      </c>
      <c r="J142">
        <f t="shared" ca="1" si="0"/>
        <v>12</v>
      </c>
      <c r="K142">
        <f t="shared" ca="1" si="0"/>
        <v>217</v>
      </c>
      <c r="L142" s="3">
        <f t="shared" ca="1" si="12"/>
        <v>3</v>
      </c>
      <c r="M142" s="13">
        <f t="shared" ca="1" si="13"/>
        <v>0.78074274791212817</v>
      </c>
      <c r="N142">
        <f t="shared" ca="1" si="14"/>
        <v>1.2699999999999998</v>
      </c>
      <c r="O142">
        <f t="shared" ca="1" si="15"/>
        <v>0</v>
      </c>
      <c r="P142">
        <f t="shared" ca="1" si="16"/>
        <v>1</v>
      </c>
      <c r="Q142">
        <f t="shared" ca="1" si="17"/>
        <v>0</v>
      </c>
      <c r="R142">
        <f t="shared" ca="1" si="18"/>
        <v>0</v>
      </c>
      <c r="S142">
        <f t="shared" ca="1" si="19"/>
        <v>1</v>
      </c>
      <c r="T142" s="17">
        <f t="shared" ca="1" si="20"/>
        <v>5.7571428571428571</v>
      </c>
    </row>
    <row r="143" spans="2:20" x14ac:dyDescent="0.3">
      <c r="B143">
        <f t="shared" ca="1" si="11"/>
        <v>65</v>
      </c>
      <c r="C143" cm="1">
        <f t="array" aca="1" ref="C143" ca="1">INDIRECT(ADDRESS(myRAND(1,C$2,C$8:C$9)+5,C$1))</f>
        <v>1</v>
      </c>
      <c r="D143" cm="1">
        <f t="array" aca="1" ref="D143" ca="1">INDIRECT(ADDRESS(myRAND(1,D$2,D$8:D$9)+5,D$1))</f>
        <v>1</v>
      </c>
      <c r="E143" cm="1">
        <f t="array" aca="1" ref="E143" ca="1">INDIRECT(ADDRESS(myRAND(1,E$2,E$8:E$9)+5,E$1))</f>
        <v>0</v>
      </c>
      <c r="F143" cm="1">
        <f t="array" aca="1" ref="F143" ca="1">INDIRECT(ADDRESS(myRAND(1,F$2,F$8:F$9)+5,F$1))</f>
        <v>1</v>
      </c>
      <c r="G143" cm="1">
        <f t="array" aca="1" ref="G143" ca="1">INDIRECT(ADDRESS(myRAND(1,G$2,G$8:G$9)+5,G$1))</f>
        <v>1</v>
      </c>
      <c r="H143" cm="1">
        <f t="array" aca="1" ref="H143" ca="1">INDIRECT(ADDRESS(myRAND(1,H$2,H$8:H$9)+5,H$1))</f>
        <v>1</v>
      </c>
      <c r="I143" cm="1">
        <f t="array" aca="1" ref="I143" ca="1">INDIRECT(ADDRESS(myRAND(1,I$2,I$8:I$9)+5,I$1))</f>
        <v>1</v>
      </c>
      <c r="J143">
        <f t="shared" ca="1" si="0"/>
        <v>19</v>
      </c>
      <c r="K143">
        <f t="shared" ref="K143" ca="1" si="21">IF(ROUND(NORMINV(RAND(),K$6,K$7),0)&lt;K$8,K$8,ROUND(NORMINV(RAND(),K$6,K$7),0))</f>
        <v>236</v>
      </c>
      <c r="L143" s="3">
        <f t="shared" ca="1" si="12"/>
        <v>3</v>
      </c>
      <c r="M143" s="13">
        <f t="shared" ca="1" si="13"/>
        <v>0.81305738603195365</v>
      </c>
      <c r="N143">
        <f t="shared" ca="1" si="14"/>
        <v>1.47</v>
      </c>
      <c r="O143">
        <f t="shared" ca="1" si="15"/>
        <v>0</v>
      </c>
      <c r="P143">
        <f t="shared" ca="1" si="16"/>
        <v>1</v>
      </c>
      <c r="Q143">
        <f t="shared" ca="1" si="17"/>
        <v>0</v>
      </c>
      <c r="R143">
        <f t="shared" ca="1" si="18"/>
        <v>0</v>
      </c>
      <c r="S143">
        <f t="shared" ca="1" si="19"/>
        <v>3</v>
      </c>
      <c r="T143" s="17">
        <f t="shared" ca="1" si="20"/>
        <v>6.3642857142857139</v>
      </c>
    </row>
    <row r="144" spans="2:20" x14ac:dyDescent="0.3">
      <c r="B144">
        <f t="shared" ca="1" si="11"/>
        <v>47</v>
      </c>
      <c r="C144" cm="1">
        <f t="array" aca="1" ref="C144" ca="1">INDIRECT(ADDRESS(myRAND(1,C$2,C$8:C$9)+5,C$1))</f>
        <v>1</v>
      </c>
      <c r="D144" cm="1">
        <f t="array" aca="1" ref="D144" ca="1">INDIRECT(ADDRESS(myRAND(1,D$2,D$8:D$9)+5,D$1))</f>
        <v>0</v>
      </c>
      <c r="E144" cm="1">
        <f t="array" aca="1" ref="E144" ca="1">INDIRECT(ADDRESS(myRAND(1,E$2,E$8:E$9)+5,E$1))</f>
        <v>0</v>
      </c>
      <c r="F144" cm="1">
        <f t="array" aca="1" ref="F144" ca="1">INDIRECT(ADDRESS(myRAND(1,F$2,F$8:F$9)+5,F$1))</f>
        <v>0</v>
      </c>
      <c r="G144" cm="1">
        <f t="array" aca="1" ref="G144" ca="1">INDIRECT(ADDRESS(myRAND(1,G$2,G$8:G$9)+5,G$1))</f>
        <v>0</v>
      </c>
      <c r="H144" cm="1">
        <f t="array" aca="1" ref="H144" ca="1">INDIRECT(ADDRESS(myRAND(1,H$2,H$8:H$9)+5,H$1))</f>
        <v>0</v>
      </c>
      <c r="I144" cm="1">
        <f t="array" aca="1" ref="I144" ca="1">INDIRECT(ADDRESS(myRAND(1,I$2,I$8:I$9)+5,I$1))</f>
        <v>0</v>
      </c>
      <c r="J144">
        <f t="shared" ref="J144:K207" ca="1" si="22">IF(ROUND(NORMINV(RAND(),J$6,J$7),0)&lt;J$8,J$8,ROUND(NORMINV(RAND(),J$6,J$7),0))</f>
        <v>14</v>
      </c>
      <c r="K144">
        <f t="shared" ca="1" si="22"/>
        <v>219</v>
      </c>
      <c r="L144" s="3">
        <f t="shared" ca="1" si="12"/>
        <v>1</v>
      </c>
      <c r="M144" s="13">
        <f t="shared" ca="1" si="13"/>
        <v>0.24048908305088887</v>
      </c>
      <c r="N144">
        <f t="shared" ca="1" si="14"/>
        <v>-1.1500000000000001</v>
      </c>
      <c r="O144">
        <f t="shared" ca="1" si="15"/>
        <v>0</v>
      </c>
      <c r="P144">
        <f t="shared" ca="1" si="16"/>
        <v>0</v>
      </c>
      <c r="Q144">
        <f t="shared" ca="1" si="17"/>
        <v>0</v>
      </c>
      <c r="R144">
        <f t="shared" ca="1" si="18"/>
        <v>1</v>
      </c>
      <c r="S144">
        <f t="shared" ca="1" si="19"/>
        <v>0</v>
      </c>
      <c r="T144" s="17">
        <f t="shared" ca="1" si="20"/>
        <v>2.77</v>
      </c>
    </row>
    <row r="145" spans="2:20" x14ac:dyDescent="0.3">
      <c r="B145">
        <f t="shared" ref="B145:B208" ca="1" si="23">IF(ROUND(NORMINV(RAND(),B$6,B$7),0)&lt;B$8,B$8,ROUND(NORMINV(RAND(),B$6,B$7),0))</f>
        <v>60</v>
      </c>
      <c r="C145" cm="1">
        <f t="array" aca="1" ref="C145" ca="1">INDIRECT(ADDRESS(myRAND(1,C$2,C$8:C$9)+5,C$1))</f>
        <v>1</v>
      </c>
      <c r="D145" cm="1">
        <f t="array" aca="1" ref="D145" ca="1">INDIRECT(ADDRESS(myRAND(1,D$2,D$8:D$9)+5,D$1))</f>
        <v>1</v>
      </c>
      <c r="E145" cm="1">
        <f t="array" aca="1" ref="E145" ca="1">INDIRECT(ADDRESS(myRAND(1,E$2,E$8:E$9)+5,E$1))</f>
        <v>0</v>
      </c>
      <c r="F145" cm="1">
        <f t="array" aca="1" ref="F145" ca="1">INDIRECT(ADDRESS(myRAND(1,F$2,F$8:F$9)+5,F$1))</f>
        <v>1</v>
      </c>
      <c r="G145" cm="1">
        <f t="array" aca="1" ref="G145" ca="1">INDIRECT(ADDRESS(myRAND(1,G$2,G$8:G$9)+5,G$1))</f>
        <v>0</v>
      </c>
      <c r="H145" cm="1">
        <f t="array" aca="1" ref="H145" ca="1">INDIRECT(ADDRESS(myRAND(1,H$2,H$8:H$9)+5,H$1))</f>
        <v>0</v>
      </c>
      <c r="I145" cm="1">
        <f t="array" aca="1" ref="I145" ca="1">INDIRECT(ADDRESS(myRAND(1,I$2,I$8:I$9)+5,I$1))</f>
        <v>0</v>
      </c>
      <c r="J145">
        <f t="shared" ca="1" si="22"/>
        <v>6</v>
      </c>
      <c r="K145">
        <f t="shared" ca="1" si="22"/>
        <v>218</v>
      </c>
      <c r="L145" s="3">
        <f t="shared" ref="L145:L208" ca="1" si="24">IF(R145=0,IF(M145&lt;$M$11,1,IF(M145&lt;M141,2,3)),IF(AND(T145&lt;$M$8,S145&lt;$M$9),1,3))</f>
        <v>3</v>
      </c>
      <c r="M145" s="13">
        <f t="shared" ref="M145:M208" ca="1" si="25">1/(1+EXP(-N145))</f>
        <v>0.78074274791212817</v>
      </c>
      <c r="N145">
        <f t="shared" ref="N145:N208" ca="1" si="26">-4.37+0.04*B145+1.34 *C145+1.9 * P145+  0.64 *O145</f>
        <v>1.2699999999999998</v>
      </c>
      <c r="O145">
        <f t="shared" ref="O145:O208" ca="1" si="27">IF(SUM(D145:F145)=3,1,0)</f>
        <v>0</v>
      </c>
      <c r="P145">
        <f t="shared" ref="P145:P208" ca="1" si="28">IF(SUM(D145:F145)=2,1,0)</f>
        <v>1</v>
      </c>
      <c r="Q145">
        <f t="shared" ref="Q145:Q208" ca="1" si="29">IF(SUM(D145:F145)=1,1,0)</f>
        <v>0</v>
      </c>
      <c r="R145">
        <f t="shared" ref="R145:R208" ca="1" si="30">IF(SUM(D145:G145)=0,1,0)</f>
        <v>0</v>
      </c>
      <c r="S145">
        <f t="shared" ref="S145:S208" ca="1" si="31">SUM(G145:I145)</f>
        <v>0</v>
      </c>
      <c r="T145" s="17">
        <f t="shared" ref="T145:T208" ca="1" si="32">(B145-20)/100 *$T$5 + C145*$T$6+(K145-100)/$K$6*$T$7+J145/$J$6*$T$8+I145*$T$9</f>
        <v>2.361904761904762</v>
      </c>
    </row>
    <row r="146" spans="2:20" x14ac:dyDescent="0.3">
      <c r="B146">
        <f t="shared" ca="1" si="23"/>
        <v>64</v>
      </c>
      <c r="C146" cm="1">
        <f t="array" aca="1" ref="C146" ca="1">INDIRECT(ADDRESS(myRAND(1,C$2,C$8:C$9)+5,C$1))</f>
        <v>0</v>
      </c>
      <c r="D146" cm="1">
        <f t="array" aca="1" ref="D146" ca="1">INDIRECT(ADDRESS(myRAND(1,D$2,D$8:D$9)+5,D$1))</f>
        <v>1</v>
      </c>
      <c r="E146" cm="1">
        <f t="array" aca="1" ref="E146" ca="1">INDIRECT(ADDRESS(myRAND(1,E$2,E$8:E$9)+5,E$1))</f>
        <v>0</v>
      </c>
      <c r="F146" cm="1">
        <f t="array" aca="1" ref="F146" ca="1">INDIRECT(ADDRESS(myRAND(1,F$2,F$8:F$9)+5,F$1))</f>
        <v>0</v>
      </c>
      <c r="G146" cm="1">
        <f t="array" aca="1" ref="G146" ca="1">INDIRECT(ADDRESS(myRAND(1,G$2,G$8:G$9)+5,G$1))</f>
        <v>1</v>
      </c>
      <c r="H146" cm="1">
        <f t="array" aca="1" ref="H146" ca="1">INDIRECT(ADDRESS(myRAND(1,H$2,H$8:H$9)+5,H$1))</f>
        <v>0</v>
      </c>
      <c r="I146" cm="1">
        <f t="array" aca="1" ref="I146" ca="1">INDIRECT(ADDRESS(myRAND(1,I$2,I$8:I$9)+5,I$1))</f>
        <v>0</v>
      </c>
      <c r="J146">
        <f t="shared" ca="1" si="22"/>
        <v>16</v>
      </c>
      <c r="K146">
        <f t="shared" ca="1" si="22"/>
        <v>190</v>
      </c>
      <c r="L146" s="3">
        <f t="shared" ca="1" si="24"/>
        <v>1</v>
      </c>
      <c r="M146" s="13">
        <f t="shared" ca="1" si="25"/>
        <v>0.14063812573413417</v>
      </c>
      <c r="N146">
        <f t="shared" ca="1" si="26"/>
        <v>-1.81</v>
      </c>
      <c r="O146">
        <f t="shared" ca="1" si="27"/>
        <v>0</v>
      </c>
      <c r="P146">
        <f t="shared" ca="1" si="28"/>
        <v>0</v>
      </c>
      <c r="Q146">
        <f t="shared" ca="1" si="29"/>
        <v>1</v>
      </c>
      <c r="R146">
        <f t="shared" ca="1" si="30"/>
        <v>0</v>
      </c>
      <c r="S146">
        <f t="shared" ca="1" si="31"/>
        <v>1</v>
      </c>
      <c r="T146" s="17">
        <f t="shared" ca="1" si="32"/>
        <v>1.9352380952380952</v>
      </c>
    </row>
    <row r="147" spans="2:20" x14ac:dyDescent="0.3">
      <c r="B147">
        <f t="shared" ca="1" si="23"/>
        <v>55</v>
      </c>
      <c r="C147" cm="1">
        <f t="array" aca="1" ref="C147" ca="1">INDIRECT(ADDRESS(myRAND(1,C$2,C$8:C$9)+5,C$1))</f>
        <v>1</v>
      </c>
      <c r="D147" cm="1">
        <f t="array" aca="1" ref="D147" ca="1">INDIRECT(ADDRESS(myRAND(1,D$2,D$8:D$9)+5,D$1))</f>
        <v>0</v>
      </c>
      <c r="E147" cm="1">
        <f t="array" aca="1" ref="E147" ca="1">INDIRECT(ADDRESS(myRAND(1,E$2,E$8:E$9)+5,E$1))</f>
        <v>1</v>
      </c>
      <c r="F147" cm="1">
        <f t="array" aca="1" ref="F147" ca="1">INDIRECT(ADDRESS(myRAND(1,F$2,F$8:F$9)+5,F$1))</f>
        <v>0</v>
      </c>
      <c r="G147" cm="1">
        <f t="array" aca="1" ref="G147" ca="1">INDIRECT(ADDRESS(myRAND(1,G$2,G$8:G$9)+5,G$1))</f>
        <v>1</v>
      </c>
      <c r="H147" cm="1">
        <f t="array" aca="1" ref="H147" ca="1">INDIRECT(ADDRESS(myRAND(1,H$2,H$8:H$9)+5,H$1))</f>
        <v>0</v>
      </c>
      <c r="I147" cm="1">
        <f t="array" aca="1" ref="I147" ca="1">INDIRECT(ADDRESS(myRAND(1,I$2,I$8:I$9)+5,I$1))</f>
        <v>0</v>
      </c>
      <c r="J147">
        <f t="shared" ca="1" si="22"/>
        <v>14</v>
      </c>
      <c r="K147">
        <f t="shared" ca="1" si="22"/>
        <v>186</v>
      </c>
      <c r="L147" s="3">
        <f t="shared" ca="1" si="24"/>
        <v>2</v>
      </c>
      <c r="M147" s="13">
        <f t="shared" ca="1" si="25"/>
        <v>0.30364507017616588</v>
      </c>
      <c r="N147">
        <f t="shared" ca="1" si="26"/>
        <v>-0.82999999999999985</v>
      </c>
      <c r="O147">
        <f t="shared" ca="1" si="27"/>
        <v>0</v>
      </c>
      <c r="P147">
        <f t="shared" ca="1" si="28"/>
        <v>0</v>
      </c>
      <c r="Q147">
        <f t="shared" ca="1" si="29"/>
        <v>1</v>
      </c>
      <c r="R147">
        <f t="shared" ca="1" si="30"/>
        <v>0</v>
      </c>
      <c r="S147">
        <f t="shared" ca="1" si="31"/>
        <v>1</v>
      </c>
      <c r="T147" s="17">
        <f t="shared" ca="1" si="32"/>
        <v>2.6928571428571431</v>
      </c>
    </row>
    <row r="148" spans="2:20" x14ac:dyDescent="0.3">
      <c r="B148">
        <f t="shared" ca="1" si="23"/>
        <v>46</v>
      </c>
      <c r="C148" cm="1">
        <f t="array" aca="1" ref="C148" ca="1">INDIRECT(ADDRESS(myRAND(1,C$2,C$8:C$9)+5,C$1))</f>
        <v>1</v>
      </c>
      <c r="D148" cm="1">
        <f t="array" aca="1" ref="D148" ca="1">INDIRECT(ADDRESS(myRAND(1,D$2,D$8:D$9)+5,D$1))</f>
        <v>0</v>
      </c>
      <c r="E148" cm="1">
        <f t="array" aca="1" ref="E148" ca="1">INDIRECT(ADDRESS(myRAND(1,E$2,E$8:E$9)+5,E$1))</f>
        <v>1</v>
      </c>
      <c r="F148" cm="1">
        <f t="array" aca="1" ref="F148" ca="1">INDIRECT(ADDRESS(myRAND(1,F$2,F$8:F$9)+5,F$1))</f>
        <v>0</v>
      </c>
      <c r="G148" cm="1">
        <f t="array" aca="1" ref="G148" ca="1">INDIRECT(ADDRESS(myRAND(1,G$2,G$8:G$9)+5,G$1))</f>
        <v>1</v>
      </c>
      <c r="H148" cm="1">
        <f t="array" aca="1" ref="H148" ca="1">INDIRECT(ADDRESS(myRAND(1,H$2,H$8:H$9)+5,H$1))</f>
        <v>1</v>
      </c>
      <c r="I148" cm="1">
        <f t="array" aca="1" ref="I148" ca="1">INDIRECT(ADDRESS(myRAND(1,I$2,I$8:I$9)+5,I$1))</f>
        <v>1</v>
      </c>
      <c r="J148">
        <f t="shared" ca="1" si="22"/>
        <v>15</v>
      </c>
      <c r="K148">
        <f t="shared" ca="1" si="22"/>
        <v>238</v>
      </c>
      <c r="L148" s="3">
        <f t="shared" ca="1" si="24"/>
        <v>2</v>
      </c>
      <c r="M148" s="13">
        <f t="shared" ca="1" si="25"/>
        <v>0.23325893577145715</v>
      </c>
      <c r="N148">
        <f t="shared" ca="1" si="26"/>
        <v>-1.1900000000000002</v>
      </c>
      <c r="O148">
        <f t="shared" ca="1" si="27"/>
        <v>0</v>
      </c>
      <c r="P148">
        <f t="shared" ca="1" si="28"/>
        <v>0</v>
      </c>
      <c r="Q148">
        <f t="shared" ca="1" si="29"/>
        <v>1</v>
      </c>
      <c r="R148">
        <f t="shared" ca="1" si="30"/>
        <v>0</v>
      </c>
      <c r="S148">
        <f t="shared" ca="1" si="31"/>
        <v>3</v>
      </c>
      <c r="T148" s="17">
        <f t="shared" ca="1" si="32"/>
        <v>5.9171428571428573</v>
      </c>
    </row>
    <row r="149" spans="2:20" x14ac:dyDescent="0.3">
      <c r="B149">
        <f t="shared" ca="1" si="23"/>
        <v>49</v>
      </c>
      <c r="C149" cm="1">
        <f t="array" aca="1" ref="C149" ca="1">INDIRECT(ADDRESS(myRAND(1,C$2,C$8:C$9)+5,C$1))</f>
        <v>0</v>
      </c>
      <c r="D149" cm="1">
        <f t="array" aca="1" ref="D149" ca="1">INDIRECT(ADDRESS(myRAND(1,D$2,D$8:D$9)+5,D$1))</f>
        <v>0</v>
      </c>
      <c r="E149" cm="1">
        <f t="array" aca="1" ref="E149" ca="1">INDIRECT(ADDRESS(myRAND(1,E$2,E$8:E$9)+5,E$1))</f>
        <v>0</v>
      </c>
      <c r="F149" cm="1">
        <f t="array" aca="1" ref="F149" ca="1">INDIRECT(ADDRESS(myRAND(1,F$2,F$8:F$9)+5,F$1))</f>
        <v>0</v>
      </c>
      <c r="G149" cm="1">
        <f t="array" aca="1" ref="G149" ca="1">INDIRECT(ADDRESS(myRAND(1,G$2,G$8:G$9)+5,G$1))</f>
        <v>0</v>
      </c>
      <c r="H149" cm="1">
        <f t="array" aca="1" ref="H149" ca="1">INDIRECT(ADDRESS(myRAND(1,H$2,H$8:H$9)+5,H$1))</f>
        <v>1</v>
      </c>
      <c r="I149" cm="1">
        <f t="array" aca="1" ref="I149" ca="1">INDIRECT(ADDRESS(myRAND(1,I$2,I$8:I$9)+5,I$1))</f>
        <v>1</v>
      </c>
      <c r="J149">
        <f t="shared" ca="1" si="22"/>
        <v>16</v>
      </c>
      <c r="K149">
        <f t="shared" ca="1" si="22"/>
        <v>216</v>
      </c>
      <c r="L149" s="3">
        <f t="shared" ca="1" si="24"/>
        <v>3</v>
      </c>
      <c r="M149" s="13">
        <f t="shared" ca="1" si="25"/>
        <v>8.2413318127912791E-2</v>
      </c>
      <c r="N149">
        <f t="shared" ca="1" si="26"/>
        <v>-2.41</v>
      </c>
      <c r="O149">
        <f t="shared" ca="1" si="27"/>
        <v>0</v>
      </c>
      <c r="P149">
        <f t="shared" ca="1" si="28"/>
        <v>0</v>
      </c>
      <c r="Q149">
        <f t="shared" ca="1" si="29"/>
        <v>0</v>
      </c>
      <c r="R149">
        <f t="shared" ca="1" si="30"/>
        <v>1</v>
      </c>
      <c r="S149">
        <f t="shared" ca="1" si="31"/>
        <v>2</v>
      </c>
      <c r="T149" s="17">
        <f t="shared" ca="1" si="32"/>
        <v>4.9090476190476195</v>
      </c>
    </row>
    <row r="150" spans="2:20" x14ac:dyDescent="0.3">
      <c r="B150">
        <f t="shared" ca="1" si="23"/>
        <v>58</v>
      </c>
      <c r="C150" cm="1">
        <f t="array" aca="1" ref="C150" ca="1">INDIRECT(ADDRESS(myRAND(1,C$2,C$8:C$9)+5,C$1))</f>
        <v>1</v>
      </c>
      <c r="D150" cm="1">
        <f t="array" aca="1" ref="D150" ca="1">INDIRECT(ADDRESS(myRAND(1,D$2,D$8:D$9)+5,D$1))</f>
        <v>1</v>
      </c>
      <c r="E150" cm="1">
        <f t="array" aca="1" ref="E150" ca="1">INDIRECT(ADDRESS(myRAND(1,E$2,E$8:E$9)+5,E$1))</f>
        <v>0</v>
      </c>
      <c r="F150" cm="1">
        <f t="array" aca="1" ref="F150" ca="1">INDIRECT(ADDRESS(myRAND(1,F$2,F$8:F$9)+5,F$1))</f>
        <v>0</v>
      </c>
      <c r="G150" cm="1">
        <f t="array" aca="1" ref="G150" ca="1">INDIRECT(ADDRESS(myRAND(1,G$2,G$8:G$9)+5,G$1))</f>
        <v>0</v>
      </c>
      <c r="H150" cm="1">
        <f t="array" aca="1" ref="H150" ca="1">INDIRECT(ADDRESS(myRAND(1,H$2,H$8:H$9)+5,H$1))</f>
        <v>0</v>
      </c>
      <c r="I150" cm="1">
        <f t="array" aca="1" ref="I150" ca="1">INDIRECT(ADDRESS(myRAND(1,I$2,I$8:I$9)+5,I$1))</f>
        <v>0</v>
      </c>
      <c r="J150">
        <f t="shared" ca="1" si="22"/>
        <v>15</v>
      </c>
      <c r="K150">
        <f t="shared" ca="1" si="22"/>
        <v>170</v>
      </c>
      <c r="L150" s="3">
        <f t="shared" ca="1" si="24"/>
        <v>3</v>
      </c>
      <c r="M150" s="13">
        <f t="shared" ca="1" si="25"/>
        <v>0.32959884019113139</v>
      </c>
      <c r="N150">
        <f t="shared" ca="1" si="26"/>
        <v>-0.71000000000000019</v>
      </c>
      <c r="O150">
        <f t="shared" ca="1" si="27"/>
        <v>0</v>
      </c>
      <c r="P150">
        <f t="shared" ca="1" si="28"/>
        <v>0</v>
      </c>
      <c r="Q150">
        <f t="shared" ca="1" si="29"/>
        <v>1</v>
      </c>
      <c r="R150">
        <f t="shared" ca="1" si="30"/>
        <v>0</v>
      </c>
      <c r="S150">
        <f t="shared" ca="1" si="31"/>
        <v>0</v>
      </c>
      <c r="T150" s="17">
        <f t="shared" ca="1" si="32"/>
        <v>2.7133333333333329</v>
      </c>
    </row>
    <row r="151" spans="2:20" x14ac:dyDescent="0.3">
      <c r="B151">
        <f t="shared" ca="1" si="23"/>
        <v>36</v>
      </c>
      <c r="C151" cm="1">
        <f t="array" aca="1" ref="C151" ca="1">INDIRECT(ADDRESS(myRAND(1,C$2,C$8:C$9)+5,C$1))</f>
        <v>0</v>
      </c>
      <c r="D151" cm="1">
        <f t="array" aca="1" ref="D151" ca="1">INDIRECT(ADDRESS(myRAND(1,D$2,D$8:D$9)+5,D$1))</f>
        <v>1</v>
      </c>
      <c r="E151" cm="1">
        <f t="array" aca="1" ref="E151" ca="1">INDIRECT(ADDRESS(myRAND(1,E$2,E$8:E$9)+5,E$1))</f>
        <v>1</v>
      </c>
      <c r="F151" cm="1">
        <f t="array" aca="1" ref="F151" ca="1">INDIRECT(ADDRESS(myRAND(1,F$2,F$8:F$9)+5,F$1))</f>
        <v>1</v>
      </c>
      <c r="G151" cm="1">
        <f t="array" aca="1" ref="G151" ca="1">INDIRECT(ADDRESS(myRAND(1,G$2,G$8:G$9)+5,G$1))</f>
        <v>0</v>
      </c>
      <c r="H151" cm="1">
        <f t="array" aca="1" ref="H151" ca="1">INDIRECT(ADDRESS(myRAND(1,H$2,H$8:H$9)+5,H$1))</f>
        <v>1</v>
      </c>
      <c r="I151" cm="1">
        <f t="array" aca="1" ref="I151" ca="1">INDIRECT(ADDRESS(myRAND(1,I$2,I$8:I$9)+5,I$1))</f>
        <v>1</v>
      </c>
      <c r="J151">
        <f t="shared" ca="1" si="22"/>
        <v>9</v>
      </c>
      <c r="K151">
        <f t="shared" ca="1" si="22"/>
        <v>206</v>
      </c>
      <c r="L151" s="3">
        <f t="shared" ca="1" si="24"/>
        <v>1</v>
      </c>
      <c r="M151" s="13">
        <f t="shared" ca="1" si="25"/>
        <v>9.195454993100434E-2</v>
      </c>
      <c r="N151">
        <f t="shared" ca="1" si="26"/>
        <v>-2.29</v>
      </c>
      <c r="O151">
        <f t="shared" ca="1" si="27"/>
        <v>1</v>
      </c>
      <c r="P151">
        <f t="shared" ca="1" si="28"/>
        <v>0</v>
      </c>
      <c r="Q151">
        <f t="shared" ca="1" si="29"/>
        <v>0</v>
      </c>
      <c r="R151">
        <f t="shared" ca="1" si="30"/>
        <v>0</v>
      </c>
      <c r="S151">
        <f t="shared" ca="1" si="31"/>
        <v>2</v>
      </c>
      <c r="T151" s="17">
        <f t="shared" ca="1" si="32"/>
        <v>4.2647619047619045</v>
      </c>
    </row>
    <row r="152" spans="2:20" x14ac:dyDescent="0.3">
      <c r="B152">
        <f t="shared" ca="1" si="23"/>
        <v>70</v>
      </c>
      <c r="C152" cm="1">
        <f t="array" aca="1" ref="C152" ca="1">INDIRECT(ADDRESS(myRAND(1,C$2,C$8:C$9)+5,C$1))</f>
        <v>0</v>
      </c>
      <c r="D152" cm="1">
        <f t="array" aca="1" ref="D152" ca="1">INDIRECT(ADDRESS(myRAND(1,D$2,D$8:D$9)+5,D$1))</f>
        <v>1</v>
      </c>
      <c r="E152" cm="1">
        <f t="array" aca="1" ref="E152" ca="1">INDIRECT(ADDRESS(myRAND(1,E$2,E$8:E$9)+5,E$1))</f>
        <v>0</v>
      </c>
      <c r="F152" cm="1">
        <f t="array" aca="1" ref="F152" ca="1">INDIRECT(ADDRESS(myRAND(1,F$2,F$8:F$9)+5,F$1))</f>
        <v>1</v>
      </c>
      <c r="G152" cm="1">
        <f t="array" aca="1" ref="G152" ca="1">INDIRECT(ADDRESS(myRAND(1,G$2,G$8:G$9)+5,G$1))</f>
        <v>1</v>
      </c>
      <c r="H152" cm="1">
        <f t="array" aca="1" ref="H152" ca="1">INDIRECT(ADDRESS(myRAND(1,H$2,H$8:H$9)+5,H$1))</f>
        <v>0</v>
      </c>
      <c r="I152" cm="1">
        <f t="array" aca="1" ref="I152" ca="1">INDIRECT(ADDRESS(myRAND(1,I$2,I$8:I$9)+5,I$1))</f>
        <v>1</v>
      </c>
      <c r="J152">
        <f t="shared" ca="1" si="22"/>
        <v>16</v>
      </c>
      <c r="K152">
        <f t="shared" ca="1" si="22"/>
        <v>187</v>
      </c>
      <c r="L152" s="3">
        <f t="shared" ca="1" si="24"/>
        <v>3</v>
      </c>
      <c r="M152" s="13">
        <f t="shared" ca="1" si="25"/>
        <v>0.58175937684183632</v>
      </c>
      <c r="N152">
        <f t="shared" ca="1" si="26"/>
        <v>0.33000000000000007</v>
      </c>
      <c r="O152">
        <f t="shared" ca="1" si="27"/>
        <v>0</v>
      </c>
      <c r="P152">
        <f t="shared" ca="1" si="28"/>
        <v>1</v>
      </c>
      <c r="Q152">
        <f t="shared" ca="1" si="29"/>
        <v>0</v>
      </c>
      <c r="R152">
        <f t="shared" ca="1" si="30"/>
        <v>0</v>
      </c>
      <c r="S152">
        <f t="shared" ca="1" si="31"/>
        <v>2</v>
      </c>
      <c r="T152" s="17">
        <f t="shared" ca="1" si="32"/>
        <v>4.980952380952381</v>
      </c>
    </row>
    <row r="153" spans="2:20" x14ac:dyDescent="0.3">
      <c r="B153">
        <f t="shared" ca="1" si="23"/>
        <v>46</v>
      </c>
      <c r="C153" cm="1">
        <f t="array" aca="1" ref="C153" ca="1">INDIRECT(ADDRESS(myRAND(1,C$2,C$8:C$9)+5,C$1))</f>
        <v>1</v>
      </c>
      <c r="D153" cm="1">
        <f t="array" aca="1" ref="D153" ca="1">INDIRECT(ADDRESS(myRAND(1,D$2,D$8:D$9)+5,D$1))</f>
        <v>0</v>
      </c>
      <c r="E153" cm="1">
        <f t="array" aca="1" ref="E153" ca="1">INDIRECT(ADDRESS(myRAND(1,E$2,E$8:E$9)+5,E$1))</f>
        <v>0</v>
      </c>
      <c r="F153" cm="1">
        <f t="array" aca="1" ref="F153" ca="1">INDIRECT(ADDRESS(myRAND(1,F$2,F$8:F$9)+5,F$1))</f>
        <v>0</v>
      </c>
      <c r="G153" cm="1">
        <f t="array" aca="1" ref="G153" ca="1">INDIRECT(ADDRESS(myRAND(1,G$2,G$8:G$9)+5,G$1))</f>
        <v>1</v>
      </c>
      <c r="H153" cm="1">
        <f t="array" aca="1" ref="H153" ca="1">INDIRECT(ADDRESS(myRAND(1,H$2,H$8:H$9)+5,H$1))</f>
        <v>0</v>
      </c>
      <c r="I153" cm="1">
        <f t="array" aca="1" ref="I153" ca="1">INDIRECT(ADDRESS(myRAND(1,I$2,I$8:I$9)+5,I$1))</f>
        <v>1</v>
      </c>
      <c r="J153">
        <f t="shared" ca="1" si="22"/>
        <v>17</v>
      </c>
      <c r="K153">
        <f t="shared" ca="1" si="22"/>
        <v>224</v>
      </c>
      <c r="L153" s="3">
        <f t="shared" ca="1" si="24"/>
        <v>3</v>
      </c>
      <c r="M153" s="13">
        <f t="shared" ca="1" si="25"/>
        <v>0.23325893577145715</v>
      </c>
      <c r="N153">
        <f t="shared" ca="1" si="26"/>
        <v>-1.1900000000000002</v>
      </c>
      <c r="O153">
        <f t="shared" ca="1" si="27"/>
        <v>0</v>
      </c>
      <c r="P153">
        <f t="shared" ca="1" si="28"/>
        <v>0</v>
      </c>
      <c r="Q153">
        <f t="shared" ca="1" si="29"/>
        <v>0</v>
      </c>
      <c r="R153">
        <f t="shared" ca="1" si="30"/>
        <v>0</v>
      </c>
      <c r="S153">
        <f t="shared" ca="1" si="31"/>
        <v>2</v>
      </c>
      <c r="T153" s="17">
        <f t="shared" ca="1" si="32"/>
        <v>5.9838095238095237</v>
      </c>
    </row>
    <row r="154" spans="2:20" x14ac:dyDescent="0.3">
      <c r="B154">
        <f t="shared" ca="1" si="23"/>
        <v>34</v>
      </c>
      <c r="C154" cm="1">
        <f t="array" aca="1" ref="C154" ca="1">INDIRECT(ADDRESS(myRAND(1,C$2,C$8:C$9)+5,C$1))</f>
        <v>0</v>
      </c>
      <c r="D154" cm="1">
        <f t="array" aca="1" ref="D154" ca="1">INDIRECT(ADDRESS(myRAND(1,D$2,D$8:D$9)+5,D$1))</f>
        <v>0</v>
      </c>
      <c r="E154" cm="1">
        <f t="array" aca="1" ref="E154" ca="1">INDIRECT(ADDRESS(myRAND(1,E$2,E$8:E$9)+5,E$1))</f>
        <v>0</v>
      </c>
      <c r="F154" cm="1">
        <f t="array" aca="1" ref="F154" ca="1">INDIRECT(ADDRESS(myRAND(1,F$2,F$8:F$9)+5,F$1))</f>
        <v>1</v>
      </c>
      <c r="G154" cm="1">
        <f t="array" aca="1" ref="G154" ca="1">INDIRECT(ADDRESS(myRAND(1,G$2,G$8:G$9)+5,G$1))</f>
        <v>0</v>
      </c>
      <c r="H154" cm="1">
        <f t="array" aca="1" ref="H154" ca="1">INDIRECT(ADDRESS(myRAND(1,H$2,H$8:H$9)+5,H$1))</f>
        <v>1</v>
      </c>
      <c r="I154" cm="1">
        <f t="array" aca="1" ref="I154" ca="1">INDIRECT(ADDRESS(myRAND(1,I$2,I$8:I$9)+5,I$1))</f>
        <v>0</v>
      </c>
      <c r="J154">
        <f t="shared" ca="1" si="22"/>
        <v>14</v>
      </c>
      <c r="K154">
        <f t="shared" ca="1" si="22"/>
        <v>229</v>
      </c>
      <c r="L154" s="3">
        <f t="shared" ca="1" si="24"/>
        <v>1</v>
      </c>
      <c r="M154" s="13">
        <f t="shared" ca="1" si="25"/>
        <v>4.6976145678283544E-2</v>
      </c>
      <c r="N154">
        <f t="shared" ca="1" si="26"/>
        <v>-3.01</v>
      </c>
      <c r="O154">
        <f t="shared" ca="1" si="27"/>
        <v>0</v>
      </c>
      <c r="P154">
        <f t="shared" ca="1" si="28"/>
        <v>0</v>
      </c>
      <c r="Q154">
        <f t="shared" ca="1" si="29"/>
        <v>1</v>
      </c>
      <c r="R154">
        <f t="shared" ca="1" si="30"/>
        <v>0</v>
      </c>
      <c r="S154">
        <f t="shared" ca="1" si="31"/>
        <v>1</v>
      </c>
      <c r="T154" s="17">
        <f t="shared" ca="1" si="32"/>
        <v>1.6876190476190476</v>
      </c>
    </row>
    <row r="155" spans="2:20" x14ac:dyDescent="0.3">
      <c r="B155">
        <f t="shared" ca="1" si="23"/>
        <v>46</v>
      </c>
      <c r="C155" cm="1">
        <f t="array" aca="1" ref="C155" ca="1">INDIRECT(ADDRESS(myRAND(1,C$2,C$8:C$9)+5,C$1))</f>
        <v>0</v>
      </c>
      <c r="D155" cm="1">
        <f t="array" aca="1" ref="D155" ca="1">INDIRECT(ADDRESS(myRAND(1,D$2,D$8:D$9)+5,D$1))</f>
        <v>0</v>
      </c>
      <c r="E155" cm="1">
        <f t="array" aca="1" ref="E155" ca="1">INDIRECT(ADDRESS(myRAND(1,E$2,E$8:E$9)+5,E$1))</f>
        <v>1</v>
      </c>
      <c r="F155" cm="1">
        <f t="array" aca="1" ref="F155" ca="1">INDIRECT(ADDRESS(myRAND(1,F$2,F$8:F$9)+5,F$1))</f>
        <v>0</v>
      </c>
      <c r="G155" cm="1">
        <f t="array" aca="1" ref="G155" ca="1">INDIRECT(ADDRESS(myRAND(1,G$2,G$8:G$9)+5,G$1))</f>
        <v>1</v>
      </c>
      <c r="H155" cm="1">
        <f t="array" aca="1" ref="H155" ca="1">INDIRECT(ADDRESS(myRAND(1,H$2,H$8:H$9)+5,H$1))</f>
        <v>0</v>
      </c>
      <c r="I155" cm="1">
        <f t="array" aca="1" ref="I155" ca="1">INDIRECT(ADDRESS(myRAND(1,I$2,I$8:I$9)+5,I$1))</f>
        <v>1</v>
      </c>
      <c r="J155">
        <f t="shared" ca="1" si="22"/>
        <v>11</v>
      </c>
      <c r="K155">
        <f t="shared" ca="1" si="22"/>
        <v>180</v>
      </c>
      <c r="L155" s="3">
        <f t="shared" ca="1" si="24"/>
        <v>1</v>
      </c>
      <c r="M155" s="13">
        <f t="shared" ca="1" si="25"/>
        <v>7.3781646602465265E-2</v>
      </c>
      <c r="N155">
        <f t="shared" ca="1" si="26"/>
        <v>-2.5300000000000002</v>
      </c>
      <c r="O155">
        <f t="shared" ca="1" si="27"/>
        <v>0</v>
      </c>
      <c r="P155">
        <f t="shared" ca="1" si="28"/>
        <v>0</v>
      </c>
      <c r="Q155">
        <f t="shared" ca="1" si="29"/>
        <v>1</v>
      </c>
      <c r="R155">
        <f t="shared" ca="1" si="30"/>
        <v>0</v>
      </c>
      <c r="S155">
        <f t="shared" ca="1" si="31"/>
        <v>2</v>
      </c>
      <c r="T155" s="17">
        <f t="shared" ca="1" si="32"/>
        <v>4.3742857142857137</v>
      </c>
    </row>
    <row r="156" spans="2:20" x14ac:dyDescent="0.3">
      <c r="B156">
        <f t="shared" ca="1" si="23"/>
        <v>41</v>
      </c>
      <c r="C156" cm="1">
        <f t="array" aca="1" ref="C156" ca="1">INDIRECT(ADDRESS(myRAND(1,C$2,C$8:C$9)+5,C$1))</f>
        <v>0</v>
      </c>
      <c r="D156" cm="1">
        <f t="array" aca="1" ref="D156" ca="1">INDIRECT(ADDRESS(myRAND(1,D$2,D$8:D$9)+5,D$1))</f>
        <v>1</v>
      </c>
      <c r="E156" cm="1">
        <f t="array" aca="1" ref="E156" ca="1">INDIRECT(ADDRESS(myRAND(1,E$2,E$8:E$9)+5,E$1))</f>
        <v>1</v>
      </c>
      <c r="F156" cm="1">
        <f t="array" aca="1" ref="F156" ca="1">INDIRECT(ADDRESS(myRAND(1,F$2,F$8:F$9)+5,F$1))</f>
        <v>0</v>
      </c>
      <c r="G156" cm="1">
        <f t="array" aca="1" ref="G156" ca="1">INDIRECT(ADDRESS(myRAND(1,G$2,G$8:G$9)+5,G$1))</f>
        <v>0</v>
      </c>
      <c r="H156" cm="1">
        <f t="array" aca="1" ref="H156" ca="1">INDIRECT(ADDRESS(myRAND(1,H$2,H$8:H$9)+5,H$1))</f>
        <v>0</v>
      </c>
      <c r="I156" cm="1">
        <f t="array" aca="1" ref="I156" ca="1">INDIRECT(ADDRESS(myRAND(1,I$2,I$8:I$9)+5,I$1))</f>
        <v>1</v>
      </c>
      <c r="J156">
        <f t="shared" ca="1" si="22"/>
        <v>11</v>
      </c>
      <c r="K156">
        <f t="shared" ca="1" si="22"/>
        <v>174</v>
      </c>
      <c r="L156" s="3">
        <f t="shared" ca="1" si="24"/>
        <v>2</v>
      </c>
      <c r="M156" s="13">
        <f t="shared" ca="1" si="25"/>
        <v>0.30364507017616588</v>
      </c>
      <c r="N156">
        <f t="shared" ca="1" si="26"/>
        <v>-0.83000000000000007</v>
      </c>
      <c r="O156">
        <f t="shared" ca="1" si="27"/>
        <v>0</v>
      </c>
      <c r="P156">
        <f t="shared" ca="1" si="28"/>
        <v>1</v>
      </c>
      <c r="Q156">
        <f t="shared" ca="1" si="29"/>
        <v>0</v>
      </c>
      <c r="R156">
        <f t="shared" ca="1" si="30"/>
        <v>0</v>
      </c>
      <c r="S156">
        <f t="shared" ca="1" si="31"/>
        <v>1</v>
      </c>
      <c r="T156" s="17">
        <f t="shared" ca="1" si="32"/>
        <v>4.2957142857142863</v>
      </c>
    </row>
    <row r="157" spans="2:20" x14ac:dyDescent="0.3">
      <c r="B157">
        <f t="shared" ca="1" si="23"/>
        <v>40</v>
      </c>
      <c r="C157" cm="1">
        <f t="array" aca="1" ref="C157" ca="1">INDIRECT(ADDRESS(myRAND(1,C$2,C$8:C$9)+5,C$1))</f>
        <v>1</v>
      </c>
      <c r="D157" cm="1">
        <f t="array" aca="1" ref="D157" ca="1">INDIRECT(ADDRESS(myRAND(1,D$2,D$8:D$9)+5,D$1))</f>
        <v>0</v>
      </c>
      <c r="E157" cm="1">
        <f t="array" aca="1" ref="E157" ca="1">INDIRECT(ADDRESS(myRAND(1,E$2,E$8:E$9)+5,E$1))</f>
        <v>0</v>
      </c>
      <c r="F157" cm="1">
        <f t="array" aca="1" ref="F157" ca="1">INDIRECT(ADDRESS(myRAND(1,F$2,F$8:F$9)+5,F$1))</f>
        <v>1</v>
      </c>
      <c r="G157" cm="1">
        <f t="array" aca="1" ref="G157" ca="1">INDIRECT(ADDRESS(myRAND(1,G$2,G$8:G$9)+5,G$1))</f>
        <v>0</v>
      </c>
      <c r="H157" cm="1">
        <f t="array" aca="1" ref="H157" ca="1">INDIRECT(ADDRESS(myRAND(1,H$2,H$8:H$9)+5,H$1))</f>
        <v>0</v>
      </c>
      <c r="I157" cm="1">
        <f t="array" aca="1" ref="I157" ca="1">INDIRECT(ADDRESS(myRAND(1,I$2,I$8:I$9)+5,I$1))</f>
        <v>1</v>
      </c>
      <c r="J157">
        <f t="shared" ca="1" si="22"/>
        <v>12</v>
      </c>
      <c r="K157">
        <f t="shared" ca="1" si="22"/>
        <v>211</v>
      </c>
      <c r="L157" s="3">
        <f t="shared" ca="1" si="24"/>
        <v>2</v>
      </c>
      <c r="M157" s="13">
        <f t="shared" ca="1" si="25"/>
        <v>0.19309868423321644</v>
      </c>
      <c r="N157">
        <f t="shared" ca="1" si="26"/>
        <v>-1.43</v>
      </c>
      <c r="O157">
        <f t="shared" ca="1" si="27"/>
        <v>0</v>
      </c>
      <c r="P157">
        <f t="shared" ca="1" si="28"/>
        <v>0</v>
      </c>
      <c r="Q157">
        <f t="shared" ca="1" si="29"/>
        <v>1</v>
      </c>
      <c r="R157">
        <f t="shared" ca="1" si="30"/>
        <v>0</v>
      </c>
      <c r="S157">
        <f t="shared" ca="1" si="31"/>
        <v>1</v>
      </c>
      <c r="T157" s="17">
        <f t="shared" ca="1" si="32"/>
        <v>5.5285714285714285</v>
      </c>
    </row>
    <row r="158" spans="2:20" x14ac:dyDescent="0.3">
      <c r="B158">
        <f t="shared" ca="1" si="23"/>
        <v>48</v>
      </c>
      <c r="C158" cm="1">
        <f t="array" aca="1" ref="C158" ca="1">INDIRECT(ADDRESS(myRAND(1,C$2,C$8:C$9)+5,C$1))</f>
        <v>0</v>
      </c>
      <c r="D158" cm="1">
        <f t="array" aca="1" ref="D158" ca="1">INDIRECT(ADDRESS(myRAND(1,D$2,D$8:D$9)+5,D$1))</f>
        <v>1</v>
      </c>
      <c r="E158" cm="1">
        <f t="array" aca="1" ref="E158" ca="1">INDIRECT(ADDRESS(myRAND(1,E$2,E$8:E$9)+5,E$1))</f>
        <v>0</v>
      </c>
      <c r="F158" cm="1">
        <f t="array" aca="1" ref="F158" ca="1">INDIRECT(ADDRESS(myRAND(1,F$2,F$8:F$9)+5,F$1))</f>
        <v>0</v>
      </c>
      <c r="G158" cm="1">
        <f t="array" aca="1" ref="G158" ca="1">INDIRECT(ADDRESS(myRAND(1,G$2,G$8:G$9)+5,G$1))</f>
        <v>0</v>
      </c>
      <c r="H158" cm="1">
        <f t="array" aca="1" ref="H158" ca="1">INDIRECT(ADDRESS(myRAND(1,H$2,H$8:H$9)+5,H$1))</f>
        <v>0</v>
      </c>
      <c r="I158" cm="1">
        <f t="array" aca="1" ref="I158" ca="1">INDIRECT(ADDRESS(myRAND(1,I$2,I$8:I$9)+5,I$1))</f>
        <v>1</v>
      </c>
      <c r="J158">
        <f t="shared" ca="1" si="22"/>
        <v>15</v>
      </c>
      <c r="K158">
        <f t="shared" ca="1" si="22"/>
        <v>226</v>
      </c>
      <c r="L158" s="3">
        <f t="shared" ca="1" si="24"/>
        <v>1</v>
      </c>
      <c r="M158" s="13">
        <f t="shared" ca="1" si="25"/>
        <v>7.9438549183978358E-2</v>
      </c>
      <c r="N158">
        <f t="shared" ca="1" si="26"/>
        <v>-2.4500000000000002</v>
      </c>
      <c r="O158">
        <f t="shared" ca="1" si="27"/>
        <v>0</v>
      </c>
      <c r="P158">
        <f t="shared" ca="1" si="28"/>
        <v>0</v>
      </c>
      <c r="Q158">
        <f t="shared" ca="1" si="29"/>
        <v>1</v>
      </c>
      <c r="R158">
        <f t="shared" ca="1" si="30"/>
        <v>0</v>
      </c>
      <c r="S158">
        <f t="shared" ca="1" si="31"/>
        <v>1</v>
      </c>
      <c r="T158" s="17">
        <f t="shared" ca="1" si="32"/>
        <v>4.88</v>
      </c>
    </row>
    <row r="159" spans="2:20" x14ac:dyDescent="0.3">
      <c r="B159">
        <f t="shared" ca="1" si="23"/>
        <v>55</v>
      </c>
      <c r="C159" cm="1">
        <f t="array" aca="1" ref="C159" ca="1">INDIRECT(ADDRESS(myRAND(1,C$2,C$8:C$9)+5,C$1))</f>
        <v>0</v>
      </c>
      <c r="D159" cm="1">
        <f t="array" aca="1" ref="D159" ca="1">INDIRECT(ADDRESS(myRAND(1,D$2,D$8:D$9)+5,D$1))</f>
        <v>1</v>
      </c>
      <c r="E159" cm="1">
        <f t="array" aca="1" ref="E159" ca="1">INDIRECT(ADDRESS(myRAND(1,E$2,E$8:E$9)+5,E$1))</f>
        <v>0</v>
      </c>
      <c r="F159" cm="1">
        <f t="array" aca="1" ref="F159" ca="1">INDIRECT(ADDRESS(myRAND(1,F$2,F$8:F$9)+5,F$1))</f>
        <v>0</v>
      </c>
      <c r="G159" cm="1">
        <f t="array" aca="1" ref="G159" ca="1">INDIRECT(ADDRESS(myRAND(1,G$2,G$8:G$9)+5,G$1))</f>
        <v>1</v>
      </c>
      <c r="H159" cm="1">
        <f t="array" aca="1" ref="H159" ca="1">INDIRECT(ADDRESS(myRAND(1,H$2,H$8:H$9)+5,H$1))</f>
        <v>0</v>
      </c>
      <c r="I159" cm="1">
        <f t="array" aca="1" ref="I159" ca="1">INDIRECT(ADDRESS(myRAND(1,I$2,I$8:I$9)+5,I$1))</f>
        <v>0</v>
      </c>
      <c r="J159">
        <f t="shared" ca="1" si="22"/>
        <v>14</v>
      </c>
      <c r="K159">
        <f t="shared" ca="1" si="22"/>
        <v>200</v>
      </c>
      <c r="L159" s="3">
        <f t="shared" ca="1" si="24"/>
        <v>1</v>
      </c>
      <c r="M159" s="13">
        <f t="shared" ca="1" si="25"/>
        <v>0.10247703344409737</v>
      </c>
      <c r="N159">
        <f t="shared" ca="1" si="26"/>
        <v>-2.17</v>
      </c>
      <c r="O159">
        <f t="shared" ca="1" si="27"/>
        <v>0</v>
      </c>
      <c r="P159">
        <f t="shared" ca="1" si="28"/>
        <v>0</v>
      </c>
      <c r="Q159">
        <f t="shared" ca="1" si="29"/>
        <v>1</v>
      </c>
      <c r="R159">
        <f t="shared" ca="1" si="30"/>
        <v>0</v>
      </c>
      <c r="S159">
        <f t="shared" ca="1" si="31"/>
        <v>1</v>
      </c>
      <c r="T159" s="17">
        <f t="shared" ca="1" si="32"/>
        <v>1.7595238095238095</v>
      </c>
    </row>
    <row r="160" spans="2:20" x14ac:dyDescent="0.3">
      <c r="B160">
        <f t="shared" ca="1" si="23"/>
        <v>43</v>
      </c>
      <c r="C160" cm="1">
        <f t="array" aca="1" ref="C160" ca="1">INDIRECT(ADDRESS(myRAND(1,C$2,C$8:C$9)+5,C$1))</f>
        <v>0</v>
      </c>
      <c r="D160" cm="1">
        <f t="array" aca="1" ref="D160" ca="1">INDIRECT(ADDRESS(myRAND(1,D$2,D$8:D$9)+5,D$1))</f>
        <v>1</v>
      </c>
      <c r="E160" cm="1">
        <f t="array" aca="1" ref="E160" ca="1">INDIRECT(ADDRESS(myRAND(1,E$2,E$8:E$9)+5,E$1))</f>
        <v>0</v>
      </c>
      <c r="F160" cm="1">
        <f t="array" aca="1" ref="F160" ca="1">INDIRECT(ADDRESS(myRAND(1,F$2,F$8:F$9)+5,F$1))</f>
        <v>1</v>
      </c>
      <c r="G160" cm="1">
        <f t="array" aca="1" ref="G160" ca="1">INDIRECT(ADDRESS(myRAND(1,G$2,G$8:G$9)+5,G$1))</f>
        <v>1</v>
      </c>
      <c r="H160" cm="1">
        <f t="array" aca="1" ref="H160" ca="1">INDIRECT(ADDRESS(myRAND(1,H$2,H$8:H$9)+5,H$1))</f>
        <v>0</v>
      </c>
      <c r="I160" cm="1">
        <f t="array" aca="1" ref="I160" ca="1">INDIRECT(ADDRESS(myRAND(1,I$2,I$8:I$9)+5,I$1))</f>
        <v>0</v>
      </c>
      <c r="J160">
        <f t="shared" ca="1" si="22"/>
        <v>15</v>
      </c>
      <c r="K160">
        <f t="shared" ca="1" si="22"/>
        <v>184</v>
      </c>
      <c r="L160" s="3">
        <f t="shared" ca="1" si="24"/>
        <v>3</v>
      </c>
      <c r="M160" s="13">
        <f t="shared" ca="1" si="25"/>
        <v>0.32082130082460691</v>
      </c>
      <c r="N160">
        <f t="shared" ca="1" si="26"/>
        <v>-0.75000000000000044</v>
      </c>
      <c r="O160">
        <f t="shared" ca="1" si="27"/>
        <v>0</v>
      </c>
      <c r="P160">
        <f t="shared" ca="1" si="28"/>
        <v>1</v>
      </c>
      <c r="Q160">
        <f t="shared" ca="1" si="29"/>
        <v>0</v>
      </c>
      <c r="R160">
        <f t="shared" ca="1" si="30"/>
        <v>0</v>
      </c>
      <c r="S160">
        <f t="shared" ca="1" si="31"/>
        <v>1</v>
      </c>
      <c r="T160" s="17">
        <f t="shared" ca="1" si="32"/>
        <v>1.63</v>
      </c>
    </row>
    <row r="161" spans="2:20" x14ac:dyDescent="0.3">
      <c r="B161">
        <f t="shared" ca="1" si="23"/>
        <v>54</v>
      </c>
      <c r="C161" cm="1">
        <f t="array" aca="1" ref="C161" ca="1">INDIRECT(ADDRESS(myRAND(1,C$2,C$8:C$9)+5,C$1))</f>
        <v>1</v>
      </c>
      <c r="D161" cm="1">
        <f t="array" aca="1" ref="D161" ca="1">INDIRECT(ADDRESS(myRAND(1,D$2,D$8:D$9)+5,D$1))</f>
        <v>0</v>
      </c>
      <c r="E161" cm="1">
        <f t="array" aca="1" ref="E161" ca="1">INDIRECT(ADDRESS(myRAND(1,E$2,E$8:E$9)+5,E$1))</f>
        <v>1</v>
      </c>
      <c r="F161" cm="1">
        <f t="array" aca="1" ref="F161" ca="1">INDIRECT(ADDRESS(myRAND(1,F$2,F$8:F$9)+5,F$1))</f>
        <v>1</v>
      </c>
      <c r="G161" cm="1">
        <f t="array" aca="1" ref="G161" ca="1">INDIRECT(ADDRESS(myRAND(1,G$2,G$8:G$9)+5,G$1))</f>
        <v>1</v>
      </c>
      <c r="H161" cm="1">
        <f t="array" aca="1" ref="H161" ca="1">INDIRECT(ADDRESS(myRAND(1,H$2,H$8:H$9)+5,H$1))</f>
        <v>0</v>
      </c>
      <c r="I161" cm="1">
        <f t="array" aca="1" ref="I161" ca="1">INDIRECT(ADDRESS(myRAND(1,I$2,I$8:I$9)+5,I$1))</f>
        <v>1</v>
      </c>
      <c r="J161">
        <f t="shared" ca="1" si="22"/>
        <v>22</v>
      </c>
      <c r="K161">
        <f t="shared" ca="1" si="22"/>
        <v>198</v>
      </c>
      <c r="L161" s="3">
        <f t="shared" ca="1" si="24"/>
        <v>3</v>
      </c>
      <c r="M161" s="13">
        <f t="shared" ca="1" si="25"/>
        <v>0.73691589583342021</v>
      </c>
      <c r="N161">
        <f t="shared" ca="1" si="26"/>
        <v>1.03</v>
      </c>
      <c r="O161">
        <f t="shared" ca="1" si="27"/>
        <v>0</v>
      </c>
      <c r="P161">
        <f t="shared" ca="1" si="28"/>
        <v>1</v>
      </c>
      <c r="Q161">
        <f t="shared" ca="1" si="29"/>
        <v>0</v>
      </c>
      <c r="R161">
        <f t="shared" ca="1" si="30"/>
        <v>0</v>
      </c>
      <c r="S161">
        <f t="shared" ca="1" si="31"/>
        <v>2</v>
      </c>
      <c r="T161" s="17">
        <f t="shared" ca="1" si="32"/>
        <v>6.2733333333333334</v>
      </c>
    </row>
    <row r="162" spans="2:20" x14ac:dyDescent="0.3">
      <c r="B162">
        <f t="shared" ca="1" si="23"/>
        <v>50</v>
      </c>
      <c r="C162" cm="1">
        <f t="array" aca="1" ref="C162" ca="1">INDIRECT(ADDRESS(myRAND(1,C$2,C$8:C$9)+5,C$1))</f>
        <v>1</v>
      </c>
      <c r="D162" cm="1">
        <f t="array" aca="1" ref="D162" ca="1">INDIRECT(ADDRESS(myRAND(1,D$2,D$8:D$9)+5,D$1))</f>
        <v>1</v>
      </c>
      <c r="E162" cm="1">
        <f t="array" aca="1" ref="E162" ca="1">INDIRECT(ADDRESS(myRAND(1,E$2,E$8:E$9)+5,E$1))</f>
        <v>1</v>
      </c>
      <c r="F162" cm="1">
        <f t="array" aca="1" ref="F162" ca="1">INDIRECT(ADDRESS(myRAND(1,F$2,F$8:F$9)+5,F$1))</f>
        <v>1</v>
      </c>
      <c r="G162" cm="1">
        <f t="array" aca="1" ref="G162" ca="1">INDIRECT(ADDRESS(myRAND(1,G$2,G$8:G$9)+5,G$1))</f>
        <v>0</v>
      </c>
      <c r="H162" cm="1">
        <f t="array" aca="1" ref="H162" ca="1">INDIRECT(ADDRESS(myRAND(1,H$2,H$8:H$9)+5,H$1))</f>
        <v>0</v>
      </c>
      <c r="I162" cm="1">
        <f t="array" aca="1" ref="I162" ca="1">INDIRECT(ADDRESS(myRAND(1,I$2,I$8:I$9)+5,I$1))</f>
        <v>0</v>
      </c>
      <c r="J162">
        <f t="shared" ca="1" si="22"/>
        <v>16</v>
      </c>
      <c r="K162">
        <f t="shared" ca="1" si="22"/>
        <v>190</v>
      </c>
      <c r="L162" s="3">
        <f t="shared" ca="1" si="24"/>
        <v>3</v>
      </c>
      <c r="M162" s="13">
        <f t="shared" ca="1" si="25"/>
        <v>0.40371730070321216</v>
      </c>
      <c r="N162">
        <f t="shared" ca="1" si="26"/>
        <v>-0.39</v>
      </c>
      <c r="O162">
        <f t="shared" ca="1" si="27"/>
        <v>1</v>
      </c>
      <c r="P162">
        <f t="shared" ca="1" si="28"/>
        <v>0</v>
      </c>
      <c r="Q162">
        <f t="shared" ca="1" si="29"/>
        <v>0</v>
      </c>
      <c r="R162">
        <f t="shared" ca="1" si="30"/>
        <v>0</v>
      </c>
      <c r="S162">
        <f t="shared" ca="1" si="31"/>
        <v>0</v>
      </c>
      <c r="T162" s="17">
        <f t="shared" ca="1" si="32"/>
        <v>2.7952380952380951</v>
      </c>
    </row>
    <row r="163" spans="2:20" x14ac:dyDescent="0.3">
      <c r="B163">
        <f t="shared" ca="1" si="23"/>
        <v>46</v>
      </c>
      <c r="C163" cm="1">
        <f t="array" aca="1" ref="C163" ca="1">INDIRECT(ADDRESS(myRAND(1,C$2,C$8:C$9)+5,C$1))</f>
        <v>1</v>
      </c>
      <c r="D163" cm="1">
        <f t="array" aca="1" ref="D163" ca="1">INDIRECT(ADDRESS(myRAND(1,D$2,D$8:D$9)+5,D$1))</f>
        <v>0</v>
      </c>
      <c r="E163" cm="1">
        <f t="array" aca="1" ref="E163" ca="1">INDIRECT(ADDRESS(myRAND(1,E$2,E$8:E$9)+5,E$1))</f>
        <v>0</v>
      </c>
      <c r="F163" cm="1">
        <f t="array" aca="1" ref="F163" ca="1">INDIRECT(ADDRESS(myRAND(1,F$2,F$8:F$9)+5,F$1))</f>
        <v>1</v>
      </c>
      <c r="G163" cm="1">
        <f t="array" aca="1" ref="G163" ca="1">INDIRECT(ADDRESS(myRAND(1,G$2,G$8:G$9)+5,G$1))</f>
        <v>1</v>
      </c>
      <c r="H163" cm="1">
        <f t="array" aca="1" ref="H163" ca="1">INDIRECT(ADDRESS(myRAND(1,H$2,H$8:H$9)+5,H$1))</f>
        <v>1</v>
      </c>
      <c r="I163" cm="1">
        <f t="array" aca="1" ref="I163" ca="1">INDIRECT(ADDRESS(myRAND(1,I$2,I$8:I$9)+5,I$1))</f>
        <v>0</v>
      </c>
      <c r="J163">
        <f t="shared" ca="1" si="22"/>
        <v>15</v>
      </c>
      <c r="K163">
        <f t="shared" ca="1" si="22"/>
        <v>175</v>
      </c>
      <c r="L163" s="3">
        <f t="shared" ca="1" si="24"/>
        <v>3</v>
      </c>
      <c r="M163" s="13">
        <f t="shared" ca="1" si="25"/>
        <v>0.23325893577145715</v>
      </c>
      <c r="N163">
        <f t="shared" ca="1" si="26"/>
        <v>-1.1900000000000002</v>
      </c>
      <c r="O163">
        <f t="shared" ca="1" si="27"/>
        <v>0</v>
      </c>
      <c r="P163">
        <f t="shared" ca="1" si="28"/>
        <v>0</v>
      </c>
      <c r="Q163">
        <f t="shared" ca="1" si="29"/>
        <v>1</v>
      </c>
      <c r="R163">
        <f t="shared" ca="1" si="30"/>
        <v>0</v>
      </c>
      <c r="S163">
        <f t="shared" ca="1" si="31"/>
        <v>2</v>
      </c>
      <c r="T163" s="17">
        <f t="shared" ca="1" si="32"/>
        <v>2.6171428571428574</v>
      </c>
    </row>
    <row r="164" spans="2:20" x14ac:dyDescent="0.3">
      <c r="B164">
        <f t="shared" ca="1" si="23"/>
        <v>41</v>
      </c>
      <c r="C164" cm="1">
        <f t="array" aca="1" ref="C164" ca="1">INDIRECT(ADDRESS(myRAND(1,C$2,C$8:C$9)+5,C$1))</f>
        <v>1</v>
      </c>
      <c r="D164" cm="1">
        <f t="array" aca="1" ref="D164" ca="1">INDIRECT(ADDRESS(myRAND(1,D$2,D$8:D$9)+5,D$1))</f>
        <v>1</v>
      </c>
      <c r="E164" cm="1">
        <f t="array" aca="1" ref="E164" ca="1">INDIRECT(ADDRESS(myRAND(1,E$2,E$8:E$9)+5,E$1))</f>
        <v>1</v>
      </c>
      <c r="F164" cm="1">
        <f t="array" aca="1" ref="F164" ca="1">INDIRECT(ADDRESS(myRAND(1,F$2,F$8:F$9)+5,F$1))</f>
        <v>1</v>
      </c>
      <c r="G164" cm="1">
        <f t="array" aca="1" ref="G164" ca="1">INDIRECT(ADDRESS(myRAND(1,G$2,G$8:G$9)+5,G$1))</f>
        <v>1</v>
      </c>
      <c r="H164" cm="1">
        <f t="array" aca="1" ref="H164" ca="1">INDIRECT(ADDRESS(myRAND(1,H$2,H$8:H$9)+5,H$1))</f>
        <v>0</v>
      </c>
      <c r="I164" cm="1">
        <f t="array" aca="1" ref="I164" ca="1">INDIRECT(ADDRESS(myRAND(1,I$2,I$8:I$9)+5,I$1))</f>
        <v>1</v>
      </c>
      <c r="J164">
        <f t="shared" ca="1" si="22"/>
        <v>15</v>
      </c>
      <c r="K164">
        <f t="shared" ca="1" si="22"/>
        <v>240</v>
      </c>
      <c r="L164" s="3">
        <f t="shared" ca="1" si="24"/>
        <v>3</v>
      </c>
      <c r="M164" s="13">
        <f t="shared" ca="1" si="25"/>
        <v>0.32082130082460708</v>
      </c>
      <c r="N164">
        <f t="shared" ca="1" si="26"/>
        <v>-0.74999999999999989</v>
      </c>
      <c r="O164">
        <f t="shared" ca="1" si="27"/>
        <v>1</v>
      </c>
      <c r="P164">
        <f t="shared" ca="1" si="28"/>
        <v>0</v>
      </c>
      <c r="Q164">
        <f t="shared" ca="1" si="29"/>
        <v>0</v>
      </c>
      <c r="R164">
        <f t="shared" ca="1" si="30"/>
        <v>0</v>
      </c>
      <c r="S164">
        <f t="shared" ca="1" si="31"/>
        <v>2</v>
      </c>
      <c r="T164" s="17">
        <f t="shared" ca="1" si="32"/>
        <v>5.8766666666666669</v>
      </c>
    </row>
    <row r="165" spans="2:20" x14ac:dyDescent="0.3">
      <c r="B165">
        <f t="shared" ca="1" si="23"/>
        <v>56</v>
      </c>
      <c r="C165" cm="1">
        <f t="array" aca="1" ref="C165" ca="1">INDIRECT(ADDRESS(myRAND(1,C$2,C$8:C$9)+5,C$1))</f>
        <v>1</v>
      </c>
      <c r="D165" cm="1">
        <f t="array" aca="1" ref="D165" ca="1">INDIRECT(ADDRESS(myRAND(1,D$2,D$8:D$9)+5,D$1))</f>
        <v>1</v>
      </c>
      <c r="E165" cm="1">
        <f t="array" aca="1" ref="E165" ca="1">INDIRECT(ADDRESS(myRAND(1,E$2,E$8:E$9)+5,E$1))</f>
        <v>1</v>
      </c>
      <c r="F165" cm="1">
        <f t="array" aca="1" ref="F165" ca="1">INDIRECT(ADDRESS(myRAND(1,F$2,F$8:F$9)+5,F$1))</f>
        <v>0</v>
      </c>
      <c r="G165" cm="1">
        <f t="array" aca="1" ref="G165" ca="1">INDIRECT(ADDRESS(myRAND(1,G$2,G$8:G$9)+5,G$1))</f>
        <v>1</v>
      </c>
      <c r="H165" cm="1">
        <f t="array" aca="1" ref="H165" ca="1">INDIRECT(ADDRESS(myRAND(1,H$2,H$8:H$9)+5,H$1))</f>
        <v>1</v>
      </c>
      <c r="I165" cm="1">
        <f t="array" aca="1" ref="I165" ca="1">INDIRECT(ADDRESS(myRAND(1,I$2,I$8:I$9)+5,I$1))</f>
        <v>1</v>
      </c>
      <c r="J165">
        <f t="shared" ca="1" si="22"/>
        <v>13</v>
      </c>
      <c r="K165">
        <f t="shared" ca="1" si="22"/>
        <v>177</v>
      </c>
      <c r="L165" s="3">
        <f t="shared" ca="1" si="24"/>
        <v>3</v>
      </c>
      <c r="M165" s="13">
        <f t="shared" ca="1" si="25"/>
        <v>0.75212911143957017</v>
      </c>
      <c r="N165">
        <f t="shared" ca="1" si="26"/>
        <v>1.1100000000000001</v>
      </c>
      <c r="O165">
        <f t="shared" ca="1" si="27"/>
        <v>0</v>
      </c>
      <c r="P165">
        <f t="shared" ca="1" si="28"/>
        <v>1</v>
      </c>
      <c r="Q165">
        <f t="shared" ca="1" si="29"/>
        <v>0</v>
      </c>
      <c r="R165">
        <f t="shared" ca="1" si="30"/>
        <v>0</v>
      </c>
      <c r="S165">
        <f t="shared" ca="1" si="31"/>
        <v>3</v>
      </c>
      <c r="T165" s="17">
        <f t="shared" ca="1" si="32"/>
        <v>5.5933333333333337</v>
      </c>
    </row>
    <row r="166" spans="2:20" x14ac:dyDescent="0.3">
      <c r="B166">
        <f t="shared" ca="1" si="23"/>
        <v>67</v>
      </c>
      <c r="C166" cm="1">
        <f t="array" aca="1" ref="C166" ca="1">INDIRECT(ADDRESS(myRAND(1,C$2,C$8:C$9)+5,C$1))</f>
        <v>1</v>
      </c>
      <c r="D166" cm="1">
        <f t="array" aca="1" ref="D166" ca="1">INDIRECT(ADDRESS(myRAND(1,D$2,D$8:D$9)+5,D$1))</f>
        <v>1</v>
      </c>
      <c r="E166" cm="1">
        <f t="array" aca="1" ref="E166" ca="1">INDIRECT(ADDRESS(myRAND(1,E$2,E$8:E$9)+5,E$1))</f>
        <v>0</v>
      </c>
      <c r="F166" cm="1">
        <f t="array" aca="1" ref="F166" ca="1">INDIRECT(ADDRESS(myRAND(1,F$2,F$8:F$9)+5,F$1))</f>
        <v>0</v>
      </c>
      <c r="G166" cm="1">
        <f t="array" aca="1" ref="G166" ca="1">INDIRECT(ADDRESS(myRAND(1,G$2,G$8:G$9)+5,G$1))</f>
        <v>1</v>
      </c>
      <c r="H166" cm="1">
        <f t="array" aca="1" ref="H166" ca="1">INDIRECT(ADDRESS(myRAND(1,H$2,H$8:H$9)+5,H$1))</f>
        <v>0</v>
      </c>
      <c r="I166" cm="1">
        <f t="array" aca="1" ref="I166" ca="1">INDIRECT(ADDRESS(myRAND(1,I$2,I$8:I$9)+5,I$1))</f>
        <v>1</v>
      </c>
      <c r="J166">
        <f t="shared" ca="1" si="22"/>
        <v>10</v>
      </c>
      <c r="K166">
        <f t="shared" ca="1" si="22"/>
        <v>169</v>
      </c>
      <c r="L166" s="3">
        <f t="shared" ca="1" si="24"/>
        <v>3</v>
      </c>
      <c r="M166" s="13">
        <f t="shared" ca="1" si="25"/>
        <v>0.41338242108266998</v>
      </c>
      <c r="N166">
        <f t="shared" ca="1" si="26"/>
        <v>-0.34999999999999987</v>
      </c>
      <c r="O166">
        <f t="shared" ca="1" si="27"/>
        <v>0</v>
      </c>
      <c r="P166">
        <f t="shared" ca="1" si="28"/>
        <v>0</v>
      </c>
      <c r="Q166">
        <f t="shared" ca="1" si="29"/>
        <v>1</v>
      </c>
      <c r="R166">
        <f t="shared" ca="1" si="30"/>
        <v>0</v>
      </c>
      <c r="S166">
        <f t="shared" ca="1" si="31"/>
        <v>2</v>
      </c>
      <c r="T166" s="17">
        <f t="shared" ca="1" si="32"/>
        <v>5.465238095238095</v>
      </c>
    </row>
    <row r="167" spans="2:20" x14ac:dyDescent="0.3">
      <c r="B167">
        <f t="shared" ca="1" si="23"/>
        <v>54</v>
      </c>
      <c r="C167" cm="1">
        <f t="array" aca="1" ref="C167" ca="1">INDIRECT(ADDRESS(myRAND(1,C$2,C$8:C$9)+5,C$1))</f>
        <v>1</v>
      </c>
      <c r="D167" cm="1">
        <f t="array" aca="1" ref="D167" ca="1">INDIRECT(ADDRESS(myRAND(1,D$2,D$8:D$9)+5,D$1))</f>
        <v>1</v>
      </c>
      <c r="E167" cm="1">
        <f t="array" aca="1" ref="E167" ca="1">INDIRECT(ADDRESS(myRAND(1,E$2,E$8:E$9)+5,E$1))</f>
        <v>0</v>
      </c>
      <c r="F167" cm="1">
        <f t="array" aca="1" ref="F167" ca="1">INDIRECT(ADDRESS(myRAND(1,F$2,F$8:F$9)+5,F$1))</f>
        <v>1</v>
      </c>
      <c r="G167" cm="1">
        <f t="array" aca="1" ref="G167" ca="1">INDIRECT(ADDRESS(myRAND(1,G$2,G$8:G$9)+5,G$1))</f>
        <v>1</v>
      </c>
      <c r="H167" cm="1">
        <f t="array" aca="1" ref="H167" ca="1">INDIRECT(ADDRESS(myRAND(1,H$2,H$8:H$9)+5,H$1))</f>
        <v>1</v>
      </c>
      <c r="I167" cm="1">
        <f t="array" aca="1" ref="I167" ca="1">INDIRECT(ADDRESS(myRAND(1,I$2,I$8:I$9)+5,I$1))</f>
        <v>0</v>
      </c>
      <c r="J167">
        <f t="shared" ca="1" si="22"/>
        <v>13</v>
      </c>
      <c r="K167">
        <f t="shared" ca="1" si="22"/>
        <v>225</v>
      </c>
      <c r="L167" s="3">
        <f t="shared" ca="1" si="24"/>
        <v>3</v>
      </c>
      <c r="M167" s="13">
        <f t="shared" ca="1" si="25"/>
        <v>0.73691589583342021</v>
      </c>
      <c r="N167">
        <f t="shared" ca="1" si="26"/>
        <v>1.03</v>
      </c>
      <c r="O167">
        <f t="shared" ca="1" si="27"/>
        <v>0</v>
      </c>
      <c r="P167">
        <f t="shared" ca="1" si="28"/>
        <v>1</v>
      </c>
      <c r="Q167">
        <f t="shared" ca="1" si="29"/>
        <v>0</v>
      </c>
      <c r="R167">
        <f t="shared" ca="1" si="30"/>
        <v>0</v>
      </c>
      <c r="S167">
        <f t="shared" ca="1" si="31"/>
        <v>2</v>
      </c>
      <c r="T167" s="17">
        <f t="shared" ca="1" si="32"/>
        <v>2.8019047619047619</v>
      </c>
    </row>
    <row r="168" spans="2:20" x14ac:dyDescent="0.3">
      <c r="B168">
        <f t="shared" ca="1" si="23"/>
        <v>56</v>
      </c>
      <c r="C168" cm="1">
        <f t="array" aca="1" ref="C168" ca="1">INDIRECT(ADDRESS(myRAND(1,C$2,C$8:C$9)+5,C$1))</f>
        <v>0</v>
      </c>
      <c r="D168" cm="1">
        <f t="array" aca="1" ref="D168" ca="1">INDIRECT(ADDRESS(myRAND(1,D$2,D$8:D$9)+5,D$1))</f>
        <v>1</v>
      </c>
      <c r="E168" cm="1">
        <f t="array" aca="1" ref="E168" ca="1">INDIRECT(ADDRESS(myRAND(1,E$2,E$8:E$9)+5,E$1))</f>
        <v>1</v>
      </c>
      <c r="F168" cm="1">
        <f t="array" aca="1" ref="F168" ca="1">INDIRECT(ADDRESS(myRAND(1,F$2,F$8:F$9)+5,F$1))</f>
        <v>1</v>
      </c>
      <c r="G168" cm="1">
        <f t="array" aca="1" ref="G168" ca="1">INDIRECT(ADDRESS(myRAND(1,G$2,G$8:G$9)+5,G$1))</f>
        <v>0</v>
      </c>
      <c r="H168" cm="1">
        <f t="array" aca="1" ref="H168" ca="1">INDIRECT(ADDRESS(myRAND(1,H$2,H$8:H$9)+5,H$1))</f>
        <v>0</v>
      </c>
      <c r="I168" cm="1">
        <f t="array" aca="1" ref="I168" ca="1">INDIRECT(ADDRESS(myRAND(1,I$2,I$8:I$9)+5,I$1))</f>
        <v>0</v>
      </c>
      <c r="J168">
        <f t="shared" ca="1" si="22"/>
        <v>17</v>
      </c>
      <c r="K168">
        <f t="shared" ca="1" si="22"/>
        <v>176</v>
      </c>
      <c r="L168" s="3">
        <f t="shared" ca="1" si="24"/>
        <v>2</v>
      </c>
      <c r="M168" s="13">
        <f t="shared" ca="1" si="25"/>
        <v>0.1839217274195043</v>
      </c>
      <c r="N168">
        <f t="shared" ca="1" si="26"/>
        <v>-1.4899999999999998</v>
      </c>
      <c r="O168">
        <f t="shared" ca="1" si="27"/>
        <v>1</v>
      </c>
      <c r="P168">
        <f t="shared" ca="1" si="28"/>
        <v>0</v>
      </c>
      <c r="Q168">
        <f t="shared" ca="1" si="29"/>
        <v>0</v>
      </c>
      <c r="R168">
        <f t="shared" ca="1" si="30"/>
        <v>0</v>
      </c>
      <c r="S168">
        <f t="shared" ca="1" si="31"/>
        <v>0</v>
      </c>
      <c r="T168" s="17">
        <f t="shared" ca="1" si="32"/>
        <v>1.8552380952380951</v>
      </c>
    </row>
    <row r="169" spans="2:20" x14ac:dyDescent="0.3">
      <c r="B169">
        <f t="shared" ca="1" si="23"/>
        <v>41</v>
      </c>
      <c r="C169" cm="1">
        <f t="array" aca="1" ref="C169" ca="1">INDIRECT(ADDRESS(myRAND(1,C$2,C$8:C$9)+5,C$1))</f>
        <v>0</v>
      </c>
      <c r="D169" cm="1">
        <f t="array" aca="1" ref="D169" ca="1">INDIRECT(ADDRESS(myRAND(1,D$2,D$8:D$9)+5,D$1))</f>
        <v>0</v>
      </c>
      <c r="E169" cm="1">
        <f t="array" aca="1" ref="E169" ca="1">INDIRECT(ADDRESS(myRAND(1,E$2,E$8:E$9)+5,E$1))</f>
        <v>0</v>
      </c>
      <c r="F169" cm="1">
        <f t="array" aca="1" ref="F169" ca="1">INDIRECT(ADDRESS(myRAND(1,F$2,F$8:F$9)+5,F$1))</f>
        <v>0</v>
      </c>
      <c r="G169" cm="1">
        <f t="array" aca="1" ref="G169" ca="1">INDIRECT(ADDRESS(myRAND(1,G$2,G$8:G$9)+5,G$1))</f>
        <v>1</v>
      </c>
      <c r="H169" cm="1">
        <f t="array" aca="1" ref="H169" ca="1">INDIRECT(ADDRESS(myRAND(1,H$2,H$8:H$9)+5,H$1))</f>
        <v>1</v>
      </c>
      <c r="I169" cm="1">
        <f t="array" aca="1" ref="I169" ca="1">INDIRECT(ADDRESS(myRAND(1,I$2,I$8:I$9)+5,I$1))</f>
        <v>1</v>
      </c>
      <c r="J169">
        <f t="shared" ca="1" si="22"/>
        <v>16</v>
      </c>
      <c r="K169">
        <f t="shared" ca="1" si="22"/>
        <v>207</v>
      </c>
      <c r="L169" s="3">
        <f t="shared" ca="1" si="24"/>
        <v>1</v>
      </c>
      <c r="M169" s="13">
        <f t="shared" ca="1" si="25"/>
        <v>6.1226162819907996E-2</v>
      </c>
      <c r="N169">
        <f t="shared" ca="1" si="26"/>
        <v>-2.73</v>
      </c>
      <c r="O169">
        <f t="shared" ca="1" si="27"/>
        <v>0</v>
      </c>
      <c r="P169">
        <f t="shared" ca="1" si="28"/>
        <v>0</v>
      </c>
      <c r="Q169">
        <f t="shared" ca="1" si="29"/>
        <v>0</v>
      </c>
      <c r="R169">
        <f t="shared" ca="1" si="30"/>
        <v>0</v>
      </c>
      <c r="S169">
        <f t="shared" ca="1" si="31"/>
        <v>3</v>
      </c>
      <c r="T169" s="17">
        <f t="shared" ca="1" si="32"/>
        <v>4.7861904761904759</v>
      </c>
    </row>
    <row r="170" spans="2:20" x14ac:dyDescent="0.3">
      <c r="B170">
        <f t="shared" ca="1" si="23"/>
        <v>32</v>
      </c>
      <c r="C170" cm="1">
        <f t="array" aca="1" ref="C170" ca="1">INDIRECT(ADDRESS(myRAND(1,C$2,C$8:C$9)+5,C$1))</f>
        <v>0</v>
      </c>
      <c r="D170" cm="1">
        <f t="array" aca="1" ref="D170" ca="1">INDIRECT(ADDRESS(myRAND(1,D$2,D$8:D$9)+5,D$1))</f>
        <v>0</v>
      </c>
      <c r="E170" cm="1">
        <f t="array" aca="1" ref="E170" ca="1">INDIRECT(ADDRESS(myRAND(1,E$2,E$8:E$9)+5,E$1))</f>
        <v>1</v>
      </c>
      <c r="F170" cm="1">
        <f t="array" aca="1" ref="F170" ca="1">INDIRECT(ADDRESS(myRAND(1,F$2,F$8:F$9)+5,F$1))</f>
        <v>0</v>
      </c>
      <c r="G170" cm="1">
        <f t="array" aca="1" ref="G170" ca="1">INDIRECT(ADDRESS(myRAND(1,G$2,G$8:G$9)+5,G$1))</f>
        <v>0</v>
      </c>
      <c r="H170" cm="1">
        <f t="array" aca="1" ref="H170" ca="1">INDIRECT(ADDRESS(myRAND(1,H$2,H$8:H$9)+5,H$1))</f>
        <v>0</v>
      </c>
      <c r="I170" cm="1">
        <f t="array" aca="1" ref="I170" ca="1">INDIRECT(ADDRESS(myRAND(1,I$2,I$8:I$9)+5,I$1))</f>
        <v>1</v>
      </c>
      <c r="J170">
        <f t="shared" ca="1" si="22"/>
        <v>11</v>
      </c>
      <c r="K170">
        <f t="shared" ca="1" si="22"/>
        <v>189</v>
      </c>
      <c r="L170" s="3">
        <f t="shared" ca="1" si="24"/>
        <v>1</v>
      </c>
      <c r="M170" s="13">
        <f t="shared" ca="1" si="25"/>
        <v>4.3521634955272191E-2</v>
      </c>
      <c r="N170">
        <f t="shared" ca="1" si="26"/>
        <v>-3.09</v>
      </c>
      <c r="O170">
        <f t="shared" ca="1" si="27"/>
        <v>0</v>
      </c>
      <c r="P170">
        <f t="shared" ca="1" si="28"/>
        <v>0</v>
      </c>
      <c r="Q170">
        <f t="shared" ca="1" si="29"/>
        <v>1</v>
      </c>
      <c r="R170">
        <f t="shared" ca="1" si="30"/>
        <v>0</v>
      </c>
      <c r="S170">
        <f t="shared" ca="1" si="31"/>
        <v>1</v>
      </c>
      <c r="T170" s="17">
        <f t="shared" ca="1" si="32"/>
        <v>4.2771428571428576</v>
      </c>
    </row>
    <row r="171" spans="2:20" x14ac:dyDescent="0.3">
      <c r="B171">
        <f t="shared" ca="1" si="23"/>
        <v>59</v>
      </c>
      <c r="C171" cm="1">
        <f t="array" aca="1" ref="C171" ca="1">INDIRECT(ADDRESS(myRAND(1,C$2,C$8:C$9)+5,C$1))</f>
        <v>1</v>
      </c>
      <c r="D171" cm="1">
        <f t="array" aca="1" ref="D171" ca="1">INDIRECT(ADDRESS(myRAND(1,D$2,D$8:D$9)+5,D$1))</f>
        <v>1</v>
      </c>
      <c r="E171" cm="1">
        <f t="array" aca="1" ref="E171" ca="1">INDIRECT(ADDRESS(myRAND(1,E$2,E$8:E$9)+5,E$1))</f>
        <v>0</v>
      </c>
      <c r="F171" cm="1">
        <f t="array" aca="1" ref="F171" ca="1">INDIRECT(ADDRESS(myRAND(1,F$2,F$8:F$9)+5,F$1))</f>
        <v>1</v>
      </c>
      <c r="G171" cm="1">
        <f t="array" aca="1" ref="G171" ca="1">INDIRECT(ADDRESS(myRAND(1,G$2,G$8:G$9)+5,G$1))</f>
        <v>0</v>
      </c>
      <c r="H171" cm="1">
        <f t="array" aca="1" ref="H171" ca="1">INDIRECT(ADDRESS(myRAND(1,H$2,H$8:H$9)+5,H$1))</f>
        <v>0</v>
      </c>
      <c r="I171" cm="1">
        <f t="array" aca="1" ref="I171" ca="1">INDIRECT(ADDRESS(myRAND(1,I$2,I$8:I$9)+5,I$1))</f>
        <v>1</v>
      </c>
      <c r="J171">
        <f t="shared" ca="1" si="22"/>
        <v>16</v>
      </c>
      <c r="K171">
        <f t="shared" ca="1" si="22"/>
        <v>215</v>
      </c>
      <c r="L171" s="3">
        <f t="shared" ca="1" si="24"/>
        <v>3</v>
      </c>
      <c r="M171" s="13">
        <f t="shared" ca="1" si="25"/>
        <v>0.77381857426945377</v>
      </c>
      <c r="N171">
        <f t="shared" ca="1" si="26"/>
        <v>1.2299999999999998</v>
      </c>
      <c r="O171">
        <f t="shared" ca="1" si="27"/>
        <v>0</v>
      </c>
      <c r="P171">
        <f t="shared" ca="1" si="28"/>
        <v>1</v>
      </c>
      <c r="Q171">
        <f t="shared" ca="1" si="29"/>
        <v>0</v>
      </c>
      <c r="R171">
        <f t="shared" ca="1" si="30"/>
        <v>0</v>
      </c>
      <c r="S171">
        <f t="shared" ca="1" si="31"/>
        <v>1</v>
      </c>
      <c r="T171" s="17">
        <f t="shared" ca="1" si="32"/>
        <v>6.0042857142857144</v>
      </c>
    </row>
    <row r="172" spans="2:20" x14ac:dyDescent="0.3">
      <c r="B172">
        <f t="shared" ca="1" si="23"/>
        <v>42</v>
      </c>
      <c r="C172" cm="1">
        <f t="array" aca="1" ref="C172" ca="1">INDIRECT(ADDRESS(myRAND(1,C$2,C$8:C$9)+5,C$1))</f>
        <v>1</v>
      </c>
      <c r="D172" cm="1">
        <f t="array" aca="1" ref="D172" ca="1">INDIRECT(ADDRESS(myRAND(1,D$2,D$8:D$9)+5,D$1))</f>
        <v>0</v>
      </c>
      <c r="E172" cm="1">
        <f t="array" aca="1" ref="E172" ca="1">INDIRECT(ADDRESS(myRAND(1,E$2,E$8:E$9)+5,E$1))</f>
        <v>0</v>
      </c>
      <c r="F172" cm="1">
        <f t="array" aca="1" ref="F172" ca="1">INDIRECT(ADDRESS(myRAND(1,F$2,F$8:F$9)+5,F$1))</f>
        <v>0</v>
      </c>
      <c r="G172" cm="1">
        <f t="array" aca="1" ref="G172" ca="1">INDIRECT(ADDRESS(myRAND(1,G$2,G$8:G$9)+5,G$1))</f>
        <v>0</v>
      </c>
      <c r="H172" cm="1">
        <f t="array" aca="1" ref="H172" ca="1">INDIRECT(ADDRESS(myRAND(1,H$2,H$8:H$9)+5,H$1))</f>
        <v>1</v>
      </c>
      <c r="I172" cm="1">
        <f t="array" aca="1" ref="I172" ca="1">INDIRECT(ADDRESS(myRAND(1,I$2,I$8:I$9)+5,I$1))</f>
        <v>1</v>
      </c>
      <c r="J172">
        <f t="shared" ca="1" si="22"/>
        <v>13</v>
      </c>
      <c r="K172">
        <f t="shared" ca="1" si="22"/>
        <v>183</v>
      </c>
      <c r="L172" s="3">
        <f t="shared" ca="1" si="24"/>
        <v>3</v>
      </c>
      <c r="M172" s="13">
        <f t="shared" ca="1" si="25"/>
        <v>0.20587037180094728</v>
      </c>
      <c r="N172">
        <f t="shared" ca="1" si="26"/>
        <v>-1.3500000000000003</v>
      </c>
      <c r="O172">
        <f t="shared" ca="1" si="27"/>
        <v>0</v>
      </c>
      <c r="P172">
        <f t="shared" ca="1" si="28"/>
        <v>0</v>
      </c>
      <c r="Q172">
        <f t="shared" ca="1" si="29"/>
        <v>0</v>
      </c>
      <c r="R172">
        <f t="shared" ca="1" si="30"/>
        <v>1</v>
      </c>
      <c r="S172">
        <f t="shared" ca="1" si="31"/>
        <v>2</v>
      </c>
      <c r="T172" s="17">
        <f t="shared" ca="1" si="32"/>
        <v>5.4819047619047616</v>
      </c>
    </row>
    <row r="173" spans="2:20" x14ac:dyDescent="0.3">
      <c r="B173">
        <f t="shared" ca="1" si="23"/>
        <v>33</v>
      </c>
      <c r="C173" cm="1">
        <f t="array" aca="1" ref="C173" ca="1">INDIRECT(ADDRESS(myRAND(1,C$2,C$8:C$9)+5,C$1))</f>
        <v>0</v>
      </c>
      <c r="D173" cm="1">
        <f t="array" aca="1" ref="D173" ca="1">INDIRECT(ADDRESS(myRAND(1,D$2,D$8:D$9)+5,D$1))</f>
        <v>0</v>
      </c>
      <c r="E173" cm="1">
        <f t="array" aca="1" ref="E173" ca="1">INDIRECT(ADDRESS(myRAND(1,E$2,E$8:E$9)+5,E$1))</f>
        <v>0</v>
      </c>
      <c r="F173" cm="1">
        <f t="array" aca="1" ref="F173" ca="1">INDIRECT(ADDRESS(myRAND(1,F$2,F$8:F$9)+5,F$1))</f>
        <v>0</v>
      </c>
      <c r="G173" cm="1">
        <f t="array" aca="1" ref="G173" ca="1">INDIRECT(ADDRESS(myRAND(1,G$2,G$8:G$9)+5,G$1))</f>
        <v>0</v>
      </c>
      <c r="H173" cm="1">
        <f t="array" aca="1" ref="H173" ca="1">INDIRECT(ADDRESS(myRAND(1,H$2,H$8:H$9)+5,H$1))</f>
        <v>1</v>
      </c>
      <c r="I173" cm="1">
        <f t="array" aca="1" ref="I173" ca="1">INDIRECT(ADDRESS(myRAND(1,I$2,I$8:I$9)+5,I$1))</f>
        <v>0</v>
      </c>
      <c r="J173">
        <f t="shared" ca="1" si="22"/>
        <v>18</v>
      </c>
      <c r="K173">
        <f t="shared" ca="1" si="22"/>
        <v>243</v>
      </c>
      <c r="L173" s="3">
        <f t="shared" ca="1" si="24"/>
        <v>3</v>
      </c>
      <c r="M173" s="13">
        <f t="shared" ca="1" si="25"/>
        <v>4.5217473483287494E-2</v>
      </c>
      <c r="N173">
        <f t="shared" ca="1" si="26"/>
        <v>-3.05</v>
      </c>
      <c r="O173">
        <f t="shared" ca="1" si="27"/>
        <v>0</v>
      </c>
      <c r="P173">
        <f t="shared" ca="1" si="28"/>
        <v>0</v>
      </c>
      <c r="Q173">
        <f t="shared" ca="1" si="29"/>
        <v>0</v>
      </c>
      <c r="R173">
        <f t="shared" ca="1" si="30"/>
        <v>1</v>
      </c>
      <c r="S173">
        <f t="shared" ca="1" si="31"/>
        <v>1</v>
      </c>
      <c r="T173" s="17">
        <f t="shared" ca="1" si="32"/>
        <v>2.0109523809523808</v>
      </c>
    </row>
    <row r="174" spans="2:20" x14ac:dyDescent="0.3">
      <c r="B174">
        <f t="shared" ca="1" si="23"/>
        <v>59</v>
      </c>
      <c r="C174" cm="1">
        <f t="array" aca="1" ref="C174" ca="1">INDIRECT(ADDRESS(myRAND(1,C$2,C$8:C$9)+5,C$1))</f>
        <v>0</v>
      </c>
      <c r="D174" cm="1">
        <f t="array" aca="1" ref="D174" ca="1">INDIRECT(ADDRESS(myRAND(1,D$2,D$8:D$9)+5,D$1))</f>
        <v>0</v>
      </c>
      <c r="E174" cm="1">
        <f t="array" aca="1" ref="E174" ca="1">INDIRECT(ADDRESS(myRAND(1,E$2,E$8:E$9)+5,E$1))</f>
        <v>1</v>
      </c>
      <c r="F174" cm="1">
        <f t="array" aca="1" ref="F174" ca="1">INDIRECT(ADDRESS(myRAND(1,F$2,F$8:F$9)+5,F$1))</f>
        <v>0</v>
      </c>
      <c r="G174" cm="1">
        <f t="array" aca="1" ref="G174" ca="1">INDIRECT(ADDRESS(myRAND(1,G$2,G$8:G$9)+5,G$1))</f>
        <v>0</v>
      </c>
      <c r="H174" cm="1">
        <f t="array" aca="1" ref="H174" ca="1">INDIRECT(ADDRESS(myRAND(1,H$2,H$8:H$9)+5,H$1))</f>
        <v>0</v>
      </c>
      <c r="I174" cm="1">
        <f t="array" aca="1" ref="I174" ca="1">INDIRECT(ADDRESS(myRAND(1,I$2,I$8:I$9)+5,I$1))</f>
        <v>1</v>
      </c>
      <c r="J174">
        <f t="shared" ca="1" si="22"/>
        <v>20</v>
      </c>
      <c r="K174">
        <f t="shared" ca="1" si="22"/>
        <v>190</v>
      </c>
      <c r="L174" s="3">
        <f t="shared" ca="1" si="24"/>
        <v>1</v>
      </c>
      <c r="M174" s="13">
        <f t="shared" ca="1" si="25"/>
        <v>0.11815697780926952</v>
      </c>
      <c r="N174">
        <f t="shared" ca="1" si="26"/>
        <v>-2.0100000000000002</v>
      </c>
      <c r="O174">
        <f t="shared" ca="1" si="27"/>
        <v>0</v>
      </c>
      <c r="P174">
        <f t="shared" ca="1" si="28"/>
        <v>0</v>
      </c>
      <c r="Q174">
        <f t="shared" ca="1" si="29"/>
        <v>1</v>
      </c>
      <c r="R174">
        <f t="shared" ca="1" si="30"/>
        <v>0</v>
      </c>
      <c r="S174">
        <f t="shared" ca="1" si="31"/>
        <v>1</v>
      </c>
      <c r="T174" s="17">
        <f t="shared" ca="1" si="32"/>
        <v>5.1519047619047615</v>
      </c>
    </row>
    <row r="175" spans="2:20" x14ac:dyDescent="0.3">
      <c r="B175">
        <f t="shared" ca="1" si="23"/>
        <v>56</v>
      </c>
      <c r="C175" cm="1">
        <f t="array" aca="1" ref="C175" ca="1">INDIRECT(ADDRESS(myRAND(1,C$2,C$8:C$9)+5,C$1))</f>
        <v>1</v>
      </c>
      <c r="D175" cm="1">
        <f t="array" aca="1" ref="D175" ca="1">INDIRECT(ADDRESS(myRAND(1,D$2,D$8:D$9)+5,D$1))</f>
        <v>1</v>
      </c>
      <c r="E175" cm="1">
        <f t="array" aca="1" ref="E175" ca="1">INDIRECT(ADDRESS(myRAND(1,E$2,E$8:E$9)+5,E$1))</f>
        <v>0</v>
      </c>
      <c r="F175" cm="1">
        <f t="array" aca="1" ref="F175" ca="1">INDIRECT(ADDRESS(myRAND(1,F$2,F$8:F$9)+5,F$1))</f>
        <v>0</v>
      </c>
      <c r="G175" cm="1">
        <f t="array" aca="1" ref="G175" ca="1">INDIRECT(ADDRESS(myRAND(1,G$2,G$8:G$9)+5,G$1))</f>
        <v>0</v>
      </c>
      <c r="H175" cm="1">
        <f t="array" aca="1" ref="H175" ca="1">INDIRECT(ADDRESS(myRAND(1,H$2,H$8:H$9)+5,H$1))</f>
        <v>0</v>
      </c>
      <c r="I175" cm="1">
        <f t="array" aca="1" ref="I175" ca="1">INDIRECT(ADDRESS(myRAND(1,I$2,I$8:I$9)+5,I$1))</f>
        <v>0</v>
      </c>
      <c r="J175">
        <f t="shared" ca="1" si="22"/>
        <v>21</v>
      </c>
      <c r="K175">
        <f t="shared" ca="1" si="22"/>
        <v>207</v>
      </c>
      <c r="L175" s="3">
        <f t="shared" ca="1" si="24"/>
        <v>2</v>
      </c>
      <c r="M175" s="13">
        <f t="shared" ca="1" si="25"/>
        <v>0.31216866941715965</v>
      </c>
      <c r="N175">
        <f t="shared" ca="1" si="26"/>
        <v>-0.78999999999999981</v>
      </c>
      <c r="O175">
        <f t="shared" ca="1" si="27"/>
        <v>0</v>
      </c>
      <c r="P175">
        <f t="shared" ca="1" si="28"/>
        <v>0</v>
      </c>
      <c r="Q175">
        <f t="shared" ca="1" si="29"/>
        <v>1</v>
      </c>
      <c r="R175">
        <f t="shared" ca="1" si="30"/>
        <v>0</v>
      </c>
      <c r="S175">
        <f t="shared" ca="1" si="31"/>
        <v>0</v>
      </c>
      <c r="T175" s="17">
        <f t="shared" ca="1" si="32"/>
        <v>3.2695238095238093</v>
      </c>
    </row>
    <row r="176" spans="2:20" x14ac:dyDescent="0.3">
      <c r="B176">
        <f t="shared" ca="1" si="23"/>
        <v>49</v>
      </c>
      <c r="C176" cm="1">
        <f t="array" aca="1" ref="C176" ca="1">INDIRECT(ADDRESS(myRAND(1,C$2,C$8:C$9)+5,C$1))</f>
        <v>0</v>
      </c>
      <c r="D176" cm="1">
        <f t="array" aca="1" ref="D176" ca="1">INDIRECT(ADDRESS(myRAND(1,D$2,D$8:D$9)+5,D$1))</f>
        <v>0</v>
      </c>
      <c r="E176" cm="1">
        <f t="array" aca="1" ref="E176" ca="1">INDIRECT(ADDRESS(myRAND(1,E$2,E$8:E$9)+5,E$1))</f>
        <v>1</v>
      </c>
      <c r="F176" cm="1">
        <f t="array" aca="1" ref="F176" ca="1">INDIRECT(ADDRESS(myRAND(1,F$2,F$8:F$9)+5,F$1))</f>
        <v>0</v>
      </c>
      <c r="G176" cm="1">
        <f t="array" aca="1" ref="G176" ca="1">INDIRECT(ADDRESS(myRAND(1,G$2,G$8:G$9)+5,G$1))</f>
        <v>0</v>
      </c>
      <c r="H176" cm="1">
        <f t="array" aca="1" ref="H176" ca="1">INDIRECT(ADDRESS(myRAND(1,H$2,H$8:H$9)+5,H$1))</f>
        <v>1</v>
      </c>
      <c r="I176" cm="1">
        <f t="array" aca="1" ref="I176" ca="1">INDIRECT(ADDRESS(myRAND(1,I$2,I$8:I$9)+5,I$1))</f>
        <v>0</v>
      </c>
      <c r="J176">
        <f t="shared" ca="1" si="22"/>
        <v>16</v>
      </c>
      <c r="K176">
        <f t="shared" ca="1" si="22"/>
        <v>214</v>
      </c>
      <c r="L176" s="3">
        <f t="shared" ca="1" si="24"/>
        <v>1</v>
      </c>
      <c r="M176" s="13">
        <f t="shared" ca="1" si="25"/>
        <v>8.2413318127912791E-2</v>
      </c>
      <c r="N176">
        <f t="shared" ca="1" si="26"/>
        <v>-2.41</v>
      </c>
      <c r="O176">
        <f t="shared" ca="1" si="27"/>
        <v>0</v>
      </c>
      <c r="P176">
        <f t="shared" ca="1" si="28"/>
        <v>0</v>
      </c>
      <c r="Q176">
        <f t="shared" ca="1" si="29"/>
        <v>1</v>
      </c>
      <c r="R176">
        <f t="shared" ca="1" si="30"/>
        <v>0</v>
      </c>
      <c r="S176">
        <f t="shared" ca="1" si="31"/>
        <v>1</v>
      </c>
      <c r="T176" s="17">
        <f t="shared" ca="1" si="32"/>
        <v>1.8995238095238094</v>
      </c>
    </row>
    <row r="177" spans="2:20" x14ac:dyDescent="0.3">
      <c r="B177">
        <f t="shared" ca="1" si="23"/>
        <v>65</v>
      </c>
      <c r="C177" cm="1">
        <f t="array" aca="1" ref="C177" ca="1">INDIRECT(ADDRESS(myRAND(1,C$2,C$8:C$9)+5,C$1))</f>
        <v>0</v>
      </c>
      <c r="D177" cm="1">
        <f t="array" aca="1" ref="D177" ca="1">INDIRECT(ADDRESS(myRAND(1,D$2,D$8:D$9)+5,D$1))</f>
        <v>1</v>
      </c>
      <c r="E177" cm="1">
        <f t="array" aca="1" ref="E177" ca="1">INDIRECT(ADDRESS(myRAND(1,E$2,E$8:E$9)+5,E$1))</f>
        <v>1</v>
      </c>
      <c r="F177" cm="1">
        <f t="array" aca="1" ref="F177" ca="1">INDIRECT(ADDRESS(myRAND(1,F$2,F$8:F$9)+5,F$1))</f>
        <v>1</v>
      </c>
      <c r="G177" cm="1">
        <f t="array" aca="1" ref="G177" ca="1">INDIRECT(ADDRESS(myRAND(1,G$2,G$8:G$9)+5,G$1))</f>
        <v>0</v>
      </c>
      <c r="H177" cm="1">
        <f t="array" aca="1" ref="H177" ca="1">INDIRECT(ADDRESS(myRAND(1,H$2,H$8:H$9)+5,H$1))</f>
        <v>1</v>
      </c>
      <c r="I177" cm="1">
        <f t="array" aca="1" ref="I177" ca="1">INDIRECT(ADDRESS(myRAND(1,I$2,I$8:I$9)+5,I$1))</f>
        <v>1</v>
      </c>
      <c r="J177">
        <f t="shared" ca="1" si="22"/>
        <v>20</v>
      </c>
      <c r="K177">
        <f t="shared" ca="1" si="22"/>
        <v>197</v>
      </c>
      <c r="L177" s="3">
        <f t="shared" ca="1" si="24"/>
        <v>3</v>
      </c>
      <c r="M177" s="13">
        <f t="shared" ca="1" si="25"/>
        <v>0.24416110090520296</v>
      </c>
      <c r="N177">
        <f t="shared" ca="1" si="26"/>
        <v>-1.1299999999999999</v>
      </c>
      <c r="O177">
        <f t="shared" ca="1" si="27"/>
        <v>1</v>
      </c>
      <c r="P177">
        <f t="shared" ca="1" si="28"/>
        <v>0</v>
      </c>
      <c r="Q177">
        <f t="shared" ca="1" si="29"/>
        <v>0</v>
      </c>
      <c r="R177">
        <f t="shared" ca="1" si="30"/>
        <v>0</v>
      </c>
      <c r="S177">
        <f t="shared" ca="1" si="31"/>
        <v>2</v>
      </c>
      <c r="T177" s="17">
        <f t="shared" ca="1" si="32"/>
        <v>5.2452380952380953</v>
      </c>
    </row>
    <row r="178" spans="2:20" x14ac:dyDescent="0.3">
      <c r="B178">
        <f t="shared" ca="1" si="23"/>
        <v>64</v>
      </c>
      <c r="C178" cm="1">
        <f t="array" aca="1" ref="C178" ca="1">INDIRECT(ADDRESS(myRAND(1,C$2,C$8:C$9)+5,C$1))</f>
        <v>0</v>
      </c>
      <c r="D178" cm="1">
        <f t="array" aca="1" ref="D178" ca="1">INDIRECT(ADDRESS(myRAND(1,D$2,D$8:D$9)+5,D$1))</f>
        <v>1</v>
      </c>
      <c r="E178" cm="1">
        <f t="array" aca="1" ref="E178" ca="1">INDIRECT(ADDRESS(myRAND(1,E$2,E$8:E$9)+5,E$1))</f>
        <v>0</v>
      </c>
      <c r="F178" cm="1">
        <f t="array" aca="1" ref="F178" ca="1">INDIRECT(ADDRESS(myRAND(1,F$2,F$8:F$9)+5,F$1))</f>
        <v>0</v>
      </c>
      <c r="G178" cm="1">
        <f t="array" aca="1" ref="G178" ca="1">INDIRECT(ADDRESS(myRAND(1,G$2,G$8:G$9)+5,G$1))</f>
        <v>0</v>
      </c>
      <c r="H178" cm="1">
        <f t="array" aca="1" ref="H178" ca="1">INDIRECT(ADDRESS(myRAND(1,H$2,H$8:H$9)+5,H$1))</f>
        <v>0</v>
      </c>
      <c r="I178" cm="1">
        <f t="array" aca="1" ref="I178" ca="1">INDIRECT(ADDRESS(myRAND(1,I$2,I$8:I$9)+5,I$1))</f>
        <v>1</v>
      </c>
      <c r="J178">
        <f t="shared" ca="1" si="22"/>
        <v>14</v>
      </c>
      <c r="K178">
        <f t="shared" ca="1" si="22"/>
        <v>142</v>
      </c>
      <c r="L178" s="3">
        <f t="shared" ca="1" si="24"/>
        <v>1</v>
      </c>
      <c r="M178" s="13">
        <f t="shared" ca="1" si="25"/>
        <v>0.14063812573413417</v>
      </c>
      <c r="N178">
        <f t="shared" ca="1" si="26"/>
        <v>-1.81</v>
      </c>
      <c r="O178">
        <f t="shared" ca="1" si="27"/>
        <v>0</v>
      </c>
      <c r="P178">
        <f t="shared" ca="1" si="28"/>
        <v>0</v>
      </c>
      <c r="Q178">
        <f t="shared" ca="1" si="29"/>
        <v>1</v>
      </c>
      <c r="R178">
        <f t="shared" ca="1" si="30"/>
        <v>0</v>
      </c>
      <c r="S178">
        <f t="shared" ca="1" si="31"/>
        <v>1</v>
      </c>
      <c r="T178" s="17">
        <f t="shared" ca="1" si="32"/>
        <v>4.5733333333333333</v>
      </c>
    </row>
    <row r="179" spans="2:20" x14ac:dyDescent="0.3">
      <c r="B179">
        <f t="shared" ca="1" si="23"/>
        <v>45</v>
      </c>
      <c r="C179" cm="1">
        <f t="array" aca="1" ref="C179" ca="1">INDIRECT(ADDRESS(myRAND(1,C$2,C$8:C$9)+5,C$1))</f>
        <v>1</v>
      </c>
      <c r="D179" cm="1">
        <f t="array" aca="1" ref="D179" ca="1">INDIRECT(ADDRESS(myRAND(1,D$2,D$8:D$9)+5,D$1))</f>
        <v>0</v>
      </c>
      <c r="E179" cm="1">
        <f t="array" aca="1" ref="E179" ca="1">INDIRECT(ADDRESS(myRAND(1,E$2,E$8:E$9)+5,E$1))</f>
        <v>1</v>
      </c>
      <c r="F179" cm="1">
        <f t="array" aca="1" ref="F179" ca="1">INDIRECT(ADDRESS(myRAND(1,F$2,F$8:F$9)+5,F$1))</f>
        <v>0</v>
      </c>
      <c r="G179" cm="1">
        <f t="array" aca="1" ref="G179" ca="1">INDIRECT(ADDRESS(myRAND(1,G$2,G$8:G$9)+5,G$1))</f>
        <v>0</v>
      </c>
      <c r="H179" cm="1">
        <f t="array" aca="1" ref="H179" ca="1">INDIRECT(ADDRESS(myRAND(1,H$2,H$8:H$9)+5,H$1))</f>
        <v>0</v>
      </c>
      <c r="I179" cm="1">
        <f t="array" aca="1" ref="I179" ca="1">INDIRECT(ADDRESS(myRAND(1,I$2,I$8:I$9)+5,I$1))</f>
        <v>0</v>
      </c>
      <c r="J179">
        <f t="shared" ca="1" si="22"/>
        <v>13</v>
      </c>
      <c r="K179">
        <f t="shared" ca="1" si="22"/>
        <v>242</v>
      </c>
      <c r="L179" s="3">
        <f t="shared" ca="1" si="24"/>
        <v>2</v>
      </c>
      <c r="M179" s="13">
        <f t="shared" ca="1" si="25"/>
        <v>0.22618142573054617</v>
      </c>
      <c r="N179">
        <f t="shared" ca="1" si="26"/>
        <v>-1.2300000000000002</v>
      </c>
      <c r="O179">
        <f t="shared" ca="1" si="27"/>
        <v>0</v>
      </c>
      <c r="P179">
        <f t="shared" ca="1" si="28"/>
        <v>0</v>
      </c>
      <c r="Q179">
        <f t="shared" ca="1" si="29"/>
        <v>1</v>
      </c>
      <c r="R179">
        <f t="shared" ca="1" si="30"/>
        <v>0</v>
      </c>
      <c r="S179">
        <f t="shared" ca="1" si="31"/>
        <v>0</v>
      </c>
      <c r="T179" s="17">
        <f t="shared" ca="1" si="32"/>
        <v>2.7928571428571427</v>
      </c>
    </row>
    <row r="180" spans="2:20" x14ac:dyDescent="0.3">
      <c r="B180">
        <f t="shared" ca="1" si="23"/>
        <v>44</v>
      </c>
      <c r="C180" cm="1">
        <f t="array" aca="1" ref="C180" ca="1">INDIRECT(ADDRESS(myRAND(1,C$2,C$8:C$9)+5,C$1))</f>
        <v>0</v>
      </c>
      <c r="D180" cm="1">
        <f t="array" aca="1" ref="D180" ca="1">INDIRECT(ADDRESS(myRAND(1,D$2,D$8:D$9)+5,D$1))</f>
        <v>0</v>
      </c>
      <c r="E180" cm="1">
        <f t="array" aca="1" ref="E180" ca="1">INDIRECT(ADDRESS(myRAND(1,E$2,E$8:E$9)+5,E$1))</f>
        <v>1</v>
      </c>
      <c r="F180" cm="1">
        <f t="array" aca="1" ref="F180" ca="1">INDIRECT(ADDRESS(myRAND(1,F$2,F$8:F$9)+5,F$1))</f>
        <v>0</v>
      </c>
      <c r="G180" cm="1">
        <f t="array" aca="1" ref="G180" ca="1">INDIRECT(ADDRESS(myRAND(1,G$2,G$8:G$9)+5,G$1))</f>
        <v>1</v>
      </c>
      <c r="H180" cm="1">
        <f t="array" aca="1" ref="H180" ca="1">INDIRECT(ADDRESS(myRAND(1,H$2,H$8:H$9)+5,H$1))</f>
        <v>0</v>
      </c>
      <c r="I180" cm="1">
        <f t="array" aca="1" ref="I180" ca="1">INDIRECT(ADDRESS(myRAND(1,I$2,I$8:I$9)+5,I$1))</f>
        <v>0</v>
      </c>
      <c r="J180">
        <f t="shared" ca="1" si="22"/>
        <v>14</v>
      </c>
      <c r="K180">
        <f t="shared" ca="1" si="22"/>
        <v>185</v>
      </c>
      <c r="L180" s="3">
        <f t="shared" ca="1" si="24"/>
        <v>1</v>
      </c>
      <c r="M180" s="13">
        <f t="shared" ca="1" si="25"/>
        <v>6.8497603724326075E-2</v>
      </c>
      <c r="N180">
        <f t="shared" ca="1" si="26"/>
        <v>-2.6100000000000003</v>
      </c>
      <c r="O180">
        <f t="shared" ca="1" si="27"/>
        <v>0</v>
      </c>
      <c r="P180">
        <f t="shared" ca="1" si="28"/>
        <v>0</v>
      </c>
      <c r="Q180">
        <f t="shared" ca="1" si="29"/>
        <v>1</v>
      </c>
      <c r="R180">
        <f t="shared" ca="1" si="30"/>
        <v>0</v>
      </c>
      <c r="S180">
        <f t="shared" ca="1" si="31"/>
        <v>1</v>
      </c>
      <c r="T180" s="17">
        <f t="shared" ca="1" si="32"/>
        <v>1.578095238095238</v>
      </c>
    </row>
    <row r="181" spans="2:20" x14ac:dyDescent="0.3">
      <c r="B181">
        <f t="shared" ca="1" si="23"/>
        <v>54</v>
      </c>
      <c r="C181" cm="1">
        <f t="array" aca="1" ref="C181" ca="1">INDIRECT(ADDRESS(myRAND(1,C$2,C$8:C$9)+5,C$1))</f>
        <v>0</v>
      </c>
      <c r="D181" cm="1">
        <f t="array" aca="1" ref="D181" ca="1">INDIRECT(ADDRESS(myRAND(1,D$2,D$8:D$9)+5,D$1))</f>
        <v>1</v>
      </c>
      <c r="E181" cm="1">
        <f t="array" aca="1" ref="E181" ca="1">INDIRECT(ADDRESS(myRAND(1,E$2,E$8:E$9)+5,E$1))</f>
        <v>1</v>
      </c>
      <c r="F181" cm="1">
        <f t="array" aca="1" ref="F181" ca="1">INDIRECT(ADDRESS(myRAND(1,F$2,F$8:F$9)+5,F$1))</f>
        <v>1</v>
      </c>
      <c r="G181" cm="1">
        <f t="array" aca="1" ref="G181" ca="1">INDIRECT(ADDRESS(myRAND(1,G$2,G$8:G$9)+5,G$1))</f>
        <v>0</v>
      </c>
      <c r="H181" cm="1">
        <f t="array" aca="1" ref="H181" ca="1">INDIRECT(ADDRESS(myRAND(1,H$2,H$8:H$9)+5,H$1))</f>
        <v>0</v>
      </c>
      <c r="I181" cm="1">
        <f t="array" aca="1" ref="I181" ca="1">INDIRECT(ADDRESS(myRAND(1,I$2,I$8:I$9)+5,I$1))</f>
        <v>1</v>
      </c>
      <c r="J181">
        <f t="shared" ca="1" si="22"/>
        <v>10</v>
      </c>
      <c r="K181">
        <f t="shared" ca="1" si="22"/>
        <v>209</v>
      </c>
      <c r="L181" s="3">
        <f t="shared" ca="1" si="24"/>
        <v>2</v>
      </c>
      <c r="M181" s="13">
        <f t="shared" ca="1" si="25"/>
        <v>0.17221639173387782</v>
      </c>
      <c r="N181">
        <f t="shared" ca="1" si="26"/>
        <v>-1.5699999999999998</v>
      </c>
      <c r="O181">
        <f t="shared" ca="1" si="27"/>
        <v>1</v>
      </c>
      <c r="P181">
        <f t="shared" ca="1" si="28"/>
        <v>0</v>
      </c>
      <c r="Q181">
        <f t="shared" ca="1" si="29"/>
        <v>0</v>
      </c>
      <c r="R181">
        <f t="shared" ca="1" si="30"/>
        <v>0</v>
      </c>
      <c r="S181">
        <f t="shared" ca="1" si="31"/>
        <v>1</v>
      </c>
      <c r="T181" s="17">
        <f t="shared" ca="1" si="32"/>
        <v>4.5257142857142858</v>
      </c>
    </row>
    <row r="182" spans="2:20" x14ac:dyDescent="0.3">
      <c r="B182">
        <f t="shared" ca="1" si="23"/>
        <v>42</v>
      </c>
      <c r="C182" cm="1">
        <f t="array" aca="1" ref="C182" ca="1">INDIRECT(ADDRESS(myRAND(1,C$2,C$8:C$9)+5,C$1))</f>
        <v>0</v>
      </c>
      <c r="D182" cm="1">
        <f t="array" aca="1" ref="D182" ca="1">INDIRECT(ADDRESS(myRAND(1,D$2,D$8:D$9)+5,D$1))</f>
        <v>1</v>
      </c>
      <c r="E182" cm="1">
        <f t="array" aca="1" ref="E182" ca="1">INDIRECT(ADDRESS(myRAND(1,E$2,E$8:E$9)+5,E$1))</f>
        <v>1</v>
      </c>
      <c r="F182" cm="1">
        <f t="array" aca="1" ref="F182" ca="1">INDIRECT(ADDRESS(myRAND(1,F$2,F$8:F$9)+5,F$1))</f>
        <v>0</v>
      </c>
      <c r="G182" cm="1">
        <f t="array" aca="1" ref="G182" ca="1">INDIRECT(ADDRESS(myRAND(1,G$2,G$8:G$9)+5,G$1))</f>
        <v>0</v>
      </c>
      <c r="H182" cm="1">
        <f t="array" aca="1" ref="H182" ca="1">INDIRECT(ADDRESS(myRAND(1,H$2,H$8:H$9)+5,H$1))</f>
        <v>1</v>
      </c>
      <c r="I182" cm="1">
        <f t="array" aca="1" ref="I182" ca="1">INDIRECT(ADDRESS(myRAND(1,I$2,I$8:I$9)+5,I$1))</f>
        <v>0</v>
      </c>
      <c r="J182">
        <f t="shared" ca="1" si="22"/>
        <v>21</v>
      </c>
      <c r="K182">
        <f t="shared" ca="1" si="22"/>
        <v>225</v>
      </c>
      <c r="L182" s="3">
        <f t="shared" ca="1" si="24"/>
        <v>3</v>
      </c>
      <c r="M182" s="13">
        <f t="shared" ca="1" si="25"/>
        <v>0.31216866941715948</v>
      </c>
      <c r="N182">
        <f t="shared" ca="1" si="26"/>
        <v>-0.79000000000000048</v>
      </c>
      <c r="O182">
        <f t="shared" ca="1" si="27"/>
        <v>0</v>
      </c>
      <c r="P182">
        <f t="shared" ca="1" si="28"/>
        <v>1</v>
      </c>
      <c r="Q182">
        <f t="shared" ca="1" si="29"/>
        <v>0</v>
      </c>
      <c r="R182">
        <f t="shared" ca="1" si="30"/>
        <v>0</v>
      </c>
      <c r="S182">
        <f t="shared" ca="1" si="31"/>
        <v>1</v>
      </c>
      <c r="T182" s="17">
        <f t="shared" ca="1" si="32"/>
        <v>2.215238095238095</v>
      </c>
    </row>
    <row r="183" spans="2:20" x14ac:dyDescent="0.3">
      <c r="B183">
        <f t="shared" ca="1" si="23"/>
        <v>41</v>
      </c>
      <c r="C183" cm="1">
        <f t="array" aca="1" ref="C183" ca="1">INDIRECT(ADDRESS(myRAND(1,C$2,C$8:C$9)+5,C$1))</f>
        <v>0</v>
      </c>
      <c r="D183" cm="1">
        <f t="array" aca="1" ref="D183" ca="1">INDIRECT(ADDRESS(myRAND(1,D$2,D$8:D$9)+5,D$1))</f>
        <v>0</v>
      </c>
      <c r="E183" cm="1">
        <f t="array" aca="1" ref="E183" ca="1">INDIRECT(ADDRESS(myRAND(1,E$2,E$8:E$9)+5,E$1))</f>
        <v>0</v>
      </c>
      <c r="F183" cm="1">
        <f t="array" aca="1" ref="F183" ca="1">INDIRECT(ADDRESS(myRAND(1,F$2,F$8:F$9)+5,F$1))</f>
        <v>0</v>
      </c>
      <c r="G183" cm="1">
        <f t="array" aca="1" ref="G183" ca="1">INDIRECT(ADDRESS(myRAND(1,G$2,G$8:G$9)+5,G$1))</f>
        <v>0</v>
      </c>
      <c r="H183" cm="1">
        <f t="array" aca="1" ref="H183" ca="1">INDIRECT(ADDRESS(myRAND(1,H$2,H$8:H$9)+5,H$1))</f>
        <v>1</v>
      </c>
      <c r="I183" cm="1">
        <f t="array" aca="1" ref="I183" ca="1">INDIRECT(ADDRESS(myRAND(1,I$2,I$8:I$9)+5,I$1))</f>
        <v>1</v>
      </c>
      <c r="J183">
        <f t="shared" ca="1" si="22"/>
        <v>16</v>
      </c>
      <c r="K183">
        <f t="shared" ca="1" si="22"/>
        <v>221</v>
      </c>
      <c r="L183" s="3">
        <f t="shared" ca="1" si="24"/>
        <v>3</v>
      </c>
      <c r="M183" s="13">
        <f t="shared" ca="1" si="25"/>
        <v>6.1226162819907996E-2</v>
      </c>
      <c r="N183">
        <f t="shared" ca="1" si="26"/>
        <v>-2.73</v>
      </c>
      <c r="O183">
        <f t="shared" ca="1" si="27"/>
        <v>0</v>
      </c>
      <c r="P183">
        <f t="shared" ca="1" si="28"/>
        <v>0</v>
      </c>
      <c r="Q183">
        <f t="shared" ca="1" si="29"/>
        <v>0</v>
      </c>
      <c r="R183">
        <f t="shared" ca="1" si="30"/>
        <v>1</v>
      </c>
      <c r="S183">
        <f t="shared" ca="1" si="31"/>
        <v>2</v>
      </c>
      <c r="T183" s="17">
        <f t="shared" ca="1" si="32"/>
        <v>4.8528571428571432</v>
      </c>
    </row>
    <row r="184" spans="2:20" x14ac:dyDescent="0.3">
      <c r="B184">
        <f t="shared" ca="1" si="23"/>
        <v>57</v>
      </c>
      <c r="C184" cm="1">
        <f t="array" aca="1" ref="C184" ca="1">INDIRECT(ADDRESS(myRAND(1,C$2,C$8:C$9)+5,C$1))</f>
        <v>0</v>
      </c>
      <c r="D184" cm="1">
        <f t="array" aca="1" ref="D184" ca="1">INDIRECT(ADDRESS(myRAND(1,D$2,D$8:D$9)+5,D$1))</f>
        <v>0</v>
      </c>
      <c r="E184" cm="1">
        <f t="array" aca="1" ref="E184" ca="1">INDIRECT(ADDRESS(myRAND(1,E$2,E$8:E$9)+5,E$1))</f>
        <v>0</v>
      </c>
      <c r="F184" cm="1">
        <f t="array" aca="1" ref="F184" ca="1">INDIRECT(ADDRESS(myRAND(1,F$2,F$8:F$9)+5,F$1))</f>
        <v>1</v>
      </c>
      <c r="G184" cm="1">
        <f t="array" aca="1" ref="G184" ca="1">INDIRECT(ADDRESS(myRAND(1,G$2,G$8:G$9)+5,G$1))</f>
        <v>1</v>
      </c>
      <c r="H184" cm="1">
        <f t="array" aca="1" ref="H184" ca="1">INDIRECT(ADDRESS(myRAND(1,H$2,H$8:H$9)+5,H$1))</f>
        <v>0</v>
      </c>
      <c r="I184" cm="1">
        <f t="array" aca="1" ref="I184" ca="1">INDIRECT(ADDRESS(myRAND(1,I$2,I$8:I$9)+5,I$1))</f>
        <v>0</v>
      </c>
      <c r="J184">
        <f t="shared" ca="1" si="22"/>
        <v>16</v>
      </c>
      <c r="K184">
        <f t="shared" ca="1" si="22"/>
        <v>200</v>
      </c>
      <c r="L184" s="3">
        <f t="shared" ca="1" si="24"/>
        <v>1</v>
      </c>
      <c r="M184" s="13">
        <f t="shared" ca="1" si="25"/>
        <v>0.11007257436250302</v>
      </c>
      <c r="N184">
        <f t="shared" ca="1" si="26"/>
        <v>-2.09</v>
      </c>
      <c r="O184">
        <f t="shared" ca="1" si="27"/>
        <v>0</v>
      </c>
      <c r="P184">
        <f t="shared" ca="1" si="28"/>
        <v>0</v>
      </c>
      <c r="Q184">
        <f t="shared" ca="1" si="29"/>
        <v>1</v>
      </c>
      <c r="R184">
        <f t="shared" ca="1" si="30"/>
        <v>0</v>
      </c>
      <c r="S184">
        <f t="shared" ca="1" si="31"/>
        <v>1</v>
      </c>
      <c r="T184" s="17">
        <f t="shared" ca="1" si="32"/>
        <v>1.9128571428571428</v>
      </c>
    </row>
    <row r="185" spans="2:20" x14ac:dyDescent="0.3">
      <c r="B185">
        <f t="shared" ca="1" si="23"/>
        <v>62</v>
      </c>
      <c r="C185" cm="1">
        <f t="array" aca="1" ref="C185" ca="1">INDIRECT(ADDRESS(myRAND(1,C$2,C$8:C$9)+5,C$1))</f>
        <v>1</v>
      </c>
      <c r="D185" cm="1">
        <f t="array" aca="1" ref="D185" ca="1">INDIRECT(ADDRESS(myRAND(1,D$2,D$8:D$9)+5,D$1))</f>
        <v>0</v>
      </c>
      <c r="E185" cm="1">
        <f t="array" aca="1" ref="E185" ca="1">INDIRECT(ADDRESS(myRAND(1,E$2,E$8:E$9)+5,E$1))</f>
        <v>1</v>
      </c>
      <c r="F185" cm="1">
        <f t="array" aca="1" ref="F185" ca="1">INDIRECT(ADDRESS(myRAND(1,F$2,F$8:F$9)+5,F$1))</f>
        <v>1</v>
      </c>
      <c r="G185" cm="1">
        <f t="array" aca="1" ref="G185" ca="1">INDIRECT(ADDRESS(myRAND(1,G$2,G$8:G$9)+5,G$1))</f>
        <v>0</v>
      </c>
      <c r="H185" cm="1">
        <f t="array" aca="1" ref="H185" ca="1">INDIRECT(ADDRESS(myRAND(1,H$2,H$8:H$9)+5,H$1))</f>
        <v>1</v>
      </c>
      <c r="I185" cm="1">
        <f t="array" aca="1" ref="I185" ca="1">INDIRECT(ADDRESS(myRAND(1,I$2,I$8:I$9)+5,I$1))</f>
        <v>1</v>
      </c>
      <c r="J185">
        <f t="shared" ca="1" si="22"/>
        <v>14</v>
      </c>
      <c r="K185">
        <f t="shared" ca="1" si="22"/>
        <v>229</v>
      </c>
      <c r="L185" s="3">
        <f t="shared" ca="1" si="24"/>
        <v>3</v>
      </c>
      <c r="M185" s="13">
        <f t="shared" ca="1" si="25"/>
        <v>0.79412962819905253</v>
      </c>
      <c r="N185">
        <f t="shared" ca="1" si="26"/>
        <v>1.3499999999999999</v>
      </c>
      <c r="O185">
        <f t="shared" ca="1" si="27"/>
        <v>0</v>
      </c>
      <c r="P185">
        <f t="shared" ca="1" si="28"/>
        <v>1</v>
      </c>
      <c r="Q185">
        <f t="shared" ca="1" si="29"/>
        <v>0</v>
      </c>
      <c r="R185">
        <f t="shared" ca="1" si="30"/>
        <v>0</v>
      </c>
      <c r="S185">
        <f t="shared" ca="1" si="31"/>
        <v>2</v>
      </c>
      <c r="T185" s="17">
        <f t="shared" ca="1" si="32"/>
        <v>5.9676190476190474</v>
      </c>
    </row>
    <row r="186" spans="2:20" x14ac:dyDescent="0.3">
      <c r="B186">
        <f t="shared" ca="1" si="23"/>
        <v>62</v>
      </c>
      <c r="C186" cm="1">
        <f t="array" aca="1" ref="C186" ca="1">INDIRECT(ADDRESS(myRAND(1,C$2,C$8:C$9)+5,C$1))</f>
        <v>0</v>
      </c>
      <c r="D186" cm="1">
        <f t="array" aca="1" ref="D186" ca="1">INDIRECT(ADDRESS(myRAND(1,D$2,D$8:D$9)+5,D$1))</f>
        <v>1</v>
      </c>
      <c r="E186" cm="1">
        <f t="array" aca="1" ref="E186" ca="1">INDIRECT(ADDRESS(myRAND(1,E$2,E$8:E$9)+5,E$1))</f>
        <v>1</v>
      </c>
      <c r="F186" cm="1">
        <f t="array" aca="1" ref="F186" ca="1">INDIRECT(ADDRESS(myRAND(1,F$2,F$8:F$9)+5,F$1))</f>
        <v>1</v>
      </c>
      <c r="G186" cm="1">
        <f t="array" aca="1" ref="G186" ca="1">INDIRECT(ADDRESS(myRAND(1,G$2,G$8:G$9)+5,G$1))</f>
        <v>0</v>
      </c>
      <c r="H186" cm="1">
        <f t="array" aca="1" ref="H186" ca="1">INDIRECT(ADDRESS(myRAND(1,H$2,H$8:H$9)+5,H$1))</f>
        <v>0</v>
      </c>
      <c r="I186" cm="1">
        <f t="array" aca="1" ref="I186" ca="1">INDIRECT(ADDRESS(myRAND(1,I$2,I$8:I$9)+5,I$1))</f>
        <v>1</v>
      </c>
      <c r="J186">
        <f t="shared" ca="1" si="22"/>
        <v>19</v>
      </c>
      <c r="K186">
        <f t="shared" ca="1" si="22"/>
        <v>175</v>
      </c>
      <c r="L186" s="3">
        <f t="shared" ca="1" si="24"/>
        <v>2</v>
      </c>
      <c r="M186" s="13">
        <f t="shared" ca="1" si="25"/>
        <v>0.22270013882530884</v>
      </c>
      <c r="N186">
        <f t="shared" ca="1" si="26"/>
        <v>-1.25</v>
      </c>
      <c r="O186">
        <f t="shared" ca="1" si="27"/>
        <v>1</v>
      </c>
      <c r="P186">
        <f t="shared" ca="1" si="28"/>
        <v>0</v>
      </c>
      <c r="Q186">
        <f t="shared" ca="1" si="29"/>
        <v>0</v>
      </c>
      <c r="R186">
        <f t="shared" ca="1" si="30"/>
        <v>0</v>
      </c>
      <c r="S186">
        <f t="shared" ca="1" si="31"/>
        <v>1</v>
      </c>
      <c r="T186" s="17">
        <f t="shared" ca="1" si="32"/>
        <v>5.0438095238095233</v>
      </c>
    </row>
    <row r="187" spans="2:20" x14ac:dyDescent="0.3">
      <c r="B187">
        <f t="shared" ca="1" si="23"/>
        <v>37</v>
      </c>
      <c r="C187" cm="1">
        <f t="array" aca="1" ref="C187" ca="1">INDIRECT(ADDRESS(myRAND(1,C$2,C$8:C$9)+5,C$1))</f>
        <v>0</v>
      </c>
      <c r="D187" cm="1">
        <f t="array" aca="1" ref="D187" ca="1">INDIRECT(ADDRESS(myRAND(1,D$2,D$8:D$9)+5,D$1))</f>
        <v>1</v>
      </c>
      <c r="E187" cm="1">
        <f t="array" aca="1" ref="E187" ca="1">INDIRECT(ADDRESS(myRAND(1,E$2,E$8:E$9)+5,E$1))</f>
        <v>0</v>
      </c>
      <c r="F187" cm="1">
        <f t="array" aca="1" ref="F187" ca="1">INDIRECT(ADDRESS(myRAND(1,F$2,F$8:F$9)+5,F$1))</f>
        <v>0</v>
      </c>
      <c r="G187" cm="1">
        <f t="array" aca="1" ref="G187" ca="1">INDIRECT(ADDRESS(myRAND(1,G$2,G$8:G$9)+5,G$1))</f>
        <v>0</v>
      </c>
      <c r="H187" cm="1">
        <f t="array" aca="1" ref="H187" ca="1">INDIRECT(ADDRESS(myRAND(1,H$2,H$8:H$9)+5,H$1))</f>
        <v>0</v>
      </c>
      <c r="I187" cm="1">
        <f t="array" aca="1" ref="I187" ca="1">INDIRECT(ADDRESS(myRAND(1,I$2,I$8:I$9)+5,I$1))</f>
        <v>1</v>
      </c>
      <c r="J187">
        <f t="shared" ca="1" si="22"/>
        <v>17</v>
      </c>
      <c r="K187">
        <f t="shared" ca="1" si="22"/>
        <v>200</v>
      </c>
      <c r="L187" s="3">
        <f t="shared" ca="1" si="24"/>
        <v>1</v>
      </c>
      <c r="M187" s="13">
        <f t="shared" ca="1" si="25"/>
        <v>5.2650118435302901E-2</v>
      </c>
      <c r="N187">
        <f t="shared" ca="1" si="26"/>
        <v>-2.89</v>
      </c>
      <c r="O187">
        <f t="shared" ca="1" si="27"/>
        <v>0</v>
      </c>
      <c r="P187">
        <f t="shared" ca="1" si="28"/>
        <v>0</v>
      </c>
      <c r="Q187">
        <f t="shared" ca="1" si="29"/>
        <v>1</v>
      </c>
      <c r="R187">
        <f t="shared" ca="1" si="30"/>
        <v>0</v>
      </c>
      <c r="S187">
        <f t="shared" ca="1" si="31"/>
        <v>1</v>
      </c>
      <c r="T187" s="17">
        <f t="shared" ca="1" si="32"/>
        <v>4.7795238095238091</v>
      </c>
    </row>
    <row r="188" spans="2:20" x14ac:dyDescent="0.3">
      <c r="B188">
        <f t="shared" ca="1" si="23"/>
        <v>62</v>
      </c>
      <c r="C188" cm="1">
        <f t="array" aca="1" ref="C188" ca="1">INDIRECT(ADDRESS(myRAND(1,C$2,C$8:C$9)+5,C$1))</f>
        <v>0</v>
      </c>
      <c r="D188" cm="1">
        <f t="array" aca="1" ref="D188" ca="1">INDIRECT(ADDRESS(myRAND(1,D$2,D$8:D$9)+5,D$1))</f>
        <v>0</v>
      </c>
      <c r="E188" cm="1">
        <f t="array" aca="1" ref="E188" ca="1">INDIRECT(ADDRESS(myRAND(1,E$2,E$8:E$9)+5,E$1))</f>
        <v>0</v>
      </c>
      <c r="F188" cm="1">
        <f t="array" aca="1" ref="F188" ca="1">INDIRECT(ADDRESS(myRAND(1,F$2,F$8:F$9)+5,F$1))</f>
        <v>1</v>
      </c>
      <c r="G188" cm="1">
        <f t="array" aca="1" ref="G188" ca="1">INDIRECT(ADDRESS(myRAND(1,G$2,G$8:G$9)+5,G$1))</f>
        <v>0</v>
      </c>
      <c r="H188" cm="1">
        <f t="array" aca="1" ref="H188" ca="1">INDIRECT(ADDRESS(myRAND(1,H$2,H$8:H$9)+5,H$1))</f>
        <v>0</v>
      </c>
      <c r="I188" cm="1">
        <f t="array" aca="1" ref="I188" ca="1">INDIRECT(ADDRESS(myRAND(1,I$2,I$8:I$9)+5,I$1))</f>
        <v>1</v>
      </c>
      <c r="J188">
        <f t="shared" ca="1" si="22"/>
        <v>19</v>
      </c>
      <c r="K188">
        <f t="shared" ca="1" si="22"/>
        <v>224</v>
      </c>
      <c r="L188" s="3">
        <f t="shared" ca="1" si="24"/>
        <v>1</v>
      </c>
      <c r="M188" s="13">
        <f t="shared" ca="1" si="25"/>
        <v>0.1312444694385233</v>
      </c>
      <c r="N188">
        <f t="shared" ca="1" si="26"/>
        <v>-1.8900000000000001</v>
      </c>
      <c r="O188">
        <f t="shared" ca="1" si="27"/>
        <v>0</v>
      </c>
      <c r="P188">
        <f t="shared" ca="1" si="28"/>
        <v>0</v>
      </c>
      <c r="Q188">
        <f t="shared" ca="1" si="29"/>
        <v>1</v>
      </c>
      <c r="R188">
        <f t="shared" ca="1" si="30"/>
        <v>0</v>
      </c>
      <c r="S188">
        <f t="shared" ca="1" si="31"/>
        <v>1</v>
      </c>
      <c r="T188" s="17">
        <f t="shared" ca="1" si="32"/>
        <v>5.2771428571428576</v>
      </c>
    </row>
    <row r="189" spans="2:20" x14ac:dyDescent="0.3">
      <c r="B189">
        <f t="shared" ca="1" si="23"/>
        <v>46</v>
      </c>
      <c r="C189" cm="1">
        <f t="array" aca="1" ref="C189" ca="1">INDIRECT(ADDRESS(myRAND(1,C$2,C$8:C$9)+5,C$1))</f>
        <v>0</v>
      </c>
      <c r="D189" cm="1">
        <f t="array" aca="1" ref="D189" ca="1">INDIRECT(ADDRESS(myRAND(1,D$2,D$8:D$9)+5,D$1))</f>
        <v>1</v>
      </c>
      <c r="E189" cm="1">
        <f t="array" aca="1" ref="E189" ca="1">INDIRECT(ADDRESS(myRAND(1,E$2,E$8:E$9)+5,E$1))</f>
        <v>1</v>
      </c>
      <c r="F189" cm="1">
        <f t="array" aca="1" ref="F189" ca="1">INDIRECT(ADDRESS(myRAND(1,F$2,F$8:F$9)+5,F$1))</f>
        <v>0</v>
      </c>
      <c r="G189" cm="1">
        <f t="array" aca="1" ref="G189" ca="1">INDIRECT(ADDRESS(myRAND(1,G$2,G$8:G$9)+5,G$1))</f>
        <v>0</v>
      </c>
      <c r="H189" cm="1">
        <f t="array" aca="1" ref="H189" ca="1">INDIRECT(ADDRESS(myRAND(1,H$2,H$8:H$9)+5,H$1))</f>
        <v>0</v>
      </c>
      <c r="I189" cm="1">
        <f t="array" aca="1" ref="I189" ca="1">INDIRECT(ADDRESS(myRAND(1,I$2,I$8:I$9)+5,I$1))</f>
        <v>1</v>
      </c>
      <c r="J189">
        <f t="shared" ca="1" si="22"/>
        <v>14</v>
      </c>
      <c r="K189">
        <f t="shared" ca="1" si="22"/>
        <v>250</v>
      </c>
      <c r="L189" s="3">
        <f t="shared" ca="1" si="24"/>
        <v>2</v>
      </c>
      <c r="M189" s="13">
        <f t="shared" ca="1" si="25"/>
        <v>0.34751053780725544</v>
      </c>
      <c r="N189">
        <f t="shared" ca="1" si="26"/>
        <v>-0.63000000000000034</v>
      </c>
      <c r="O189">
        <f t="shared" ca="1" si="27"/>
        <v>0</v>
      </c>
      <c r="P189">
        <f t="shared" ca="1" si="28"/>
        <v>1</v>
      </c>
      <c r="Q189">
        <f t="shared" ca="1" si="29"/>
        <v>0</v>
      </c>
      <c r="R189">
        <f t="shared" ca="1" si="30"/>
        <v>0</v>
      </c>
      <c r="S189">
        <f t="shared" ca="1" si="31"/>
        <v>1</v>
      </c>
      <c r="T189" s="17">
        <f t="shared" ca="1" si="32"/>
        <v>4.9076190476190478</v>
      </c>
    </row>
    <row r="190" spans="2:20" x14ac:dyDescent="0.3">
      <c r="B190">
        <f t="shared" ca="1" si="23"/>
        <v>48</v>
      </c>
      <c r="C190" cm="1">
        <f t="array" aca="1" ref="C190" ca="1">INDIRECT(ADDRESS(myRAND(1,C$2,C$8:C$9)+5,C$1))</f>
        <v>1</v>
      </c>
      <c r="D190" cm="1">
        <f t="array" aca="1" ref="D190" ca="1">INDIRECT(ADDRESS(myRAND(1,D$2,D$8:D$9)+5,D$1))</f>
        <v>0</v>
      </c>
      <c r="E190" cm="1">
        <f t="array" aca="1" ref="E190" ca="1">INDIRECT(ADDRESS(myRAND(1,E$2,E$8:E$9)+5,E$1))</f>
        <v>1</v>
      </c>
      <c r="F190" cm="1">
        <f t="array" aca="1" ref="F190" ca="1">INDIRECT(ADDRESS(myRAND(1,F$2,F$8:F$9)+5,F$1))</f>
        <v>1</v>
      </c>
      <c r="G190" cm="1">
        <f t="array" aca="1" ref="G190" ca="1">INDIRECT(ADDRESS(myRAND(1,G$2,G$8:G$9)+5,G$1))</f>
        <v>0</v>
      </c>
      <c r="H190" cm="1">
        <f t="array" aca="1" ref="H190" ca="1">INDIRECT(ADDRESS(myRAND(1,H$2,H$8:H$9)+5,H$1))</f>
        <v>1</v>
      </c>
      <c r="I190" cm="1">
        <f t="array" aca="1" ref="I190" ca="1">INDIRECT(ADDRESS(myRAND(1,I$2,I$8:I$9)+5,I$1))</f>
        <v>1</v>
      </c>
      <c r="J190">
        <f t="shared" ca="1" si="22"/>
        <v>12</v>
      </c>
      <c r="K190">
        <f t="shared" ca="1" si="22"/>
        <v>226</v>
      </c>
      <c r="L190" s="3">
        <f t="shared" ca="1" si="24"/>
        <v>3</v>
      </c>
      <c r="M190" s="13">
        <f t="shared" ca="1" si="25"/>
        <v>0.68783133058284041</v>
      </c>
      <c r="N190">
        <f t="shared" ca="1" si="26"/>
        <v>0.78999999999999981</v>
      </c>
      <c r="O190">
        <f t="shared" ca="1" si="27"/>
        <v>0</v>
      </c>
      <c r="P190">
        <f t="shared" ca="1" si="28"/>
        <v>1</v>
      </c>
      <c r="Q190">
        <f t="shared" ca="1" si="29"/>
        <v>0</v>
      </c>
      <c r="R190">
        <f t="shared" ca="1" si="30"/>
        <v>0</v>
      </c>
      <c r="S190">
        <f t="shared" ca="1" si="31"/>
        <v>2</v>
      </c>
      <c r="T190" s="17">
        <f t="shared" ca="1" si="32"/>
        <v>5.68</v>
      </c>
    </row>
    <row r="191" spans="2:20" x14ac:dyDescent="0.3">
      <c r="B191">
        <f t="shared" ca="1" si="23"/>
        <v>57</v>
      </c>
      <c r="C191" cm="1">
        <f t="array" aca="1" ref="C191" ca="1">INDIRECT(ADDRESS(myRAND(1,C$2,C$8:C$9)+5,C$1))</f>
        <v>0</v>
      </c>
      <c r="D191" cm="1">
        <f t="array" aca="1" ref="D191" ca="1">INDIRECT(ADDRESS(myRAND(1,D$2,D$8:D$9)+5,D$1))</f>
        <v>1</v>
      </c>
      <c r="E191" cm="1">
        <f t="array" aca="1" ref="E191" ca="1">INDIRECT(ADDRESS(myRAND(1,E$2,E$8:E$9)+5,E$1))</f>
        <v>0</v>
      </c>
      <c r="F191" cm="1">
        <f t="array" aca="1" ref="F191" ca="1">INDIRECT(ADDRESS(myRAND(1,F$2,F$8:F$9)+5,F$1))</f>
        <v>1</v>
      </c>
      <c r="G191" cm="1">
        <f t="array" aca="1" ref="G191" ca="1">INDIRECT(ADDRESS(myRAND(1,G$2,G$8:G$9)+5,G$1))</f>
        <v>0</v>
      </c>
      <c r="H191" cm="1">
        <f t="array" aca="1" ref="H191" ca="1">INDIRECT(ADDRESS(myRAND(1,H$2,H$8:H$9)+5,H$1))</f>
        <v>0</v>
      </c>
      <c r="I191" cm="1">
        <f t="array" aca="1" ref="I191" ca="1">INDIRECT(ADDRESS(myRAND(1,I$2,I$8:I$9)+5,I$1))</f>
        <v>0</v>
      </c>
      <c r="J191">
        <f t="shared" ca="1" si="22"/>
        <v>22</v>
      </c>
      <c r="K191">
        <f t="shared" ca="1" si="22"/>
        <v>199</v>
      </c>
      <c r="L191" s="3">
        <f t="shared" ca="1" si="24"/>
        <v>3</v>
      </c>
      <c r="M191" s="13">
        <f t="shared" ca="1" si="25"/>
        <v>0.45264238185691075</v>
      </c>
      <c r="N191">
        <f t="shared" ca="1" si="26"/>
        <v>-0.18999999999999995</v>
      </c>
      <c r="O191">
        <f t="shared" ca="1" si="27"/>
        <v>0</v>
      </c>
      <c r="P191">
        <f t="shared" ca="1" si="28"/>
        <v>1</v>
      </c>
      <c r="Q191">
        <f t="shared" ca="1" si="29"/>
        <v>0</v>
      </c>
      <c r="R191">
        <f t="shared" ca="1" si="30"/>
        <v>0</v>
      </c>
      <c r="S191">
        <f t="shared" ca="1" si="31"/>
        <v>0</v>
      </c>
      <c r="T191" s="17">
        <f t="shared" ca="1" si="32"/>
        <v>2.308095238095238</v>
      </c>
    </row>
    <row r="192" spans="2:20" x14ac:dyDescent="0.3">
      <c r="B192">
        <f t="shared" ca="1" si="23"/>
        <v>55</v>
      </c>
      <c r="C192" cm="1">
        <f t="array" aca="1" ref="C192" ca="1">INDIRECT(ADDRESS(myRAND(1,C$2,C$8:C$9)+5,C$1))</f>
        <v>0</v>
      </c>
      <c r="D192" cm="1">
        <f t="array" aca="1" ref="D192" ca="1">INDIRECT(ADDRESS(myRAND(1,D$2,D$8:D$9)+5,D$1))</f>
        <v>1</v>
      </c>
      <c r="E192" cm="1">
        <f t="array" aca="1" ref="E192" ca="1">INDIRECT(ADDRESS(myRAND(1,E$2,E$8:E$9)+5,E$1))</f>
        <v>1</v>
      </c>
      <c r="F192" cm="1">
        <f t="array" aca="1" ref="F192" ca="1">INDIRECT(ADDRESS(myRAND(1,F$2,F$8:F$9)+5,F$1))</f>
        <v>0</v>
      </c>
      <c r="G192" cm="1">
        <f t="array" aca="1" ref="G192" ca="1">INDIRECT(ADDRESS(myRAND(1,G$2,G$8:G$9)+5,G$1))</f>
        <v>0</v>
      </c>
      <c r="H192" cm="1">
        <f t="array" aca="1" ref="H192" ca="1">INDIRECT(ADDRESS(myRAND(1,H$2,H$8:H$9)+5,H$1))</f>
        <v>0</v>
      </c>
      <c r="I192" cm="1">
        <f t="array" aca="1" ref="I192" ca="1">INDIRECT(ADDRESS(myRAND(1,I$2,I$8:I$9)+5,I$1))</f>
        <v>0</v>
      </c>
      <c r="J192">
        <f t="shared" ca="1" si="22"/>
        <v>14</v>
      </c>
      <c r="K192">
        <f t="shared" ca="1" si="22"/>
        <v>210</v>
      </c>
      <c r="L192" s="3">
        <f t="shared" ca="1" si="24"/>
        <v>3</v>
      </c>
      <c r="M192" s="13">
        <f t="shared" ca="1" si="25"/>
        <v>0.43290709503454572</v>
      </c>
      <c r="N192">
        <f t="shared" ca="1" si="26"/>
        <v>-0.27</v>
      </c>
      <c r="O192">
        <f t="shared" ca="1" si="27"/>
        <v>0</v>
      </c>
      <c r="P192">
        <f t="shared" ca="1" si="28"/>
        <v>1</v>
      </c>
      <c r="Q192">
        <f t="shared" ca="1" si="29"/>
        <v>0</v>
      </c>
      <c r="R192">
        <f t="shared" ca="1" si="30"/>
        <v>0</v>
      </c>
      <c r="S192">
        <f t="shared" ca="1" si="31"/>
        <v>0</v>
      </c>
      <c r="T192" s="17">
        <f t="shared" ca="1" si="32"/>
        <v>1.8071428571428572</v>
      </c>
    </row>
    <row r="193" spans="2:20" x14ac:dyDescent="0.3">
      <c r="B193">
        <f t="shared" ca="1" si="23"/>
        <v>43</v>
      </c>
      <c r="C193" cm="1">
        <f t="array" aca="1" ref="C193" ca="1">INDIRECT(ADDRESS(myRAND(1,C$2,C$8:C$9)+5,C$1))</f>
        <v>1</v>
      </c>
      <c r="D193" cm="1">
        <f t="array" aca="1" ref="D193" ca="1">INDIRECT(ADDRESS(myRAND(1,D$2,D$8:D$9)+5,D$1))</f>
        <v>0</v>
      </c>
      <c r="E193" cm="1">
        <f t="array" aca="1" ref="E193" ca="1">INDIRECT(ADDRESS(myRAND(1,E$2,E$8:E$9)+5,E$1))</f>
        <v>1</v>
      </c>
      <c r="F193" cm="1">
        <f t="array" aca="1" ref="F193" ca="1">INDIRECT(ADDRESS(myRAND(1,F$2,F$8:F$9)+5,F$1))</f>
        <v>1</v>
      </c>
      <c r="G193" cm="1">
        <f t="array" aca="1" ref="G193" ca="1">INDIRECT(ADDRESS(myRAND(1,G$2,G$8:G$9)+5,G$1))</f>
        <v>0</v>
      </c>
      <c r="H193" cm="1">
        <f t="array" aca="1" ref="H193" ca="1">INDIRECT(ADDRESS(myRAND(1,H$2,H$8:H$9)+5,H$1))</f>
        <v>0</v>
      </c>
      <c r="I193" cm="1">
        <f t="array" aca="1" ref="I193" ca="1">INDIRECT(ADDRESS(myRAND(1,I$2,I$8:I$9)+5,I$1))</f>
        <v>1</v>
      </c>
      <c r="J193">
        <f t="shared" ca="1" si="22"/>
        <v>13</v>
      </c>
      <c r="K193">
        <f t="shared" ca="1" si="22"/>
        <v>217</v>
      </c>
      <c r="L193" s="3">
        <f t="shared" ca="1" si="24"/>
        <v>3</v>
      </c>
      <c r="M193" s="13">
        <f t="shared" ca="1" si="25"/>
        <v>0.64336514569440162</v>
      </c>
      <c r="N193">
        <f t="shared" ca="1" si="26"/>
        <v>0.58999999999999964</v>
      </c>
      <c r="O193">
        <f t="shared" ca="1" si="27"/>
        <v>0</v>
      </c>
      <c r="P193">
        <f t="shared" ca="1" si="28"/>
        <v>1</v>
      </c>
      <c r="Q193">
        <f t="shared" ca="1" si="29"/>
        <v>0</v>
      </c>
      <c r="R193">
        <f t="shared" ca="1" si="30"/>
        <v>0</v>
      </c>
      <c r="S193">
        <f t="shared" ca="1" si="31"/>
        <v>1</v>
      </c>
      <c r="T193" s="17">
        <f t="shared" ca="1" si="32"/>
        <v>5.6538095238095236</v>
      </c>
    </row>
    <row r="194" spans="2:20" x14ac:dyDescent="0.3">
      <c r="B194">
        <f t="shared" ca="1" si="23"/>
        <v>53</v>
      </c>
      <c r="C194" cm="1">
        <f t="array" aca="1" ref="C194" ca="1">INDIRECT(ADDRESS(myRAND(1,C$2,C$8:C$9)+5,C$1))</f>
        <v>0</v>
      </c>
      <c r="D194" cm="1">
        <f t="array" aca="1" ref="D194" ca="1">INDIRECT(ADDRESS(myRAND(1,D$2,D$8:D$9)+5,D$1))</f>
        <v>1</v>
      </c>
      <c r="E194" cm="1">
        <f t="array" aca="1" ref="E194" ca="1">INDIRECT(ADDRESS(myRAND(1,E$2,E$8:E$9)+5,E$1))</f>
        <v>1</v>
      </c>
      <c r="F194" cm="1">
        <f t="array" aca="1" ref="F194" ca="1">INDIRECT(ADDRESS(myRAND(1,F$2,F$8:F$9)+5,F$1))</f>
        <v>1</v>
      </c>
      <c r="G194" cm="1">
        <f t="array" aca="1" ref="G194" ca="1">INDIRECT(ADDRESS(myRAND(1,G$2,G$8:G$9)+5,G$1))</f>
        <v>0</v>
      </c>
      <c r="H194" cm="1">
        <f t="array" aca="1" ref="H194" ca="1">INDIRECT(ADDRESS(myRAND(1,H$2,H$8:H$9)+5,H$1))</f>
        <v>0</v>
      </c>
      <c r="I194" cm="1">
        <f t="array" aca="1" ref="I194" ca="1">INDIRECT(ADDRESS(myRAND(1,I$2,I$8:I$9)+5,I$1))</f>
        <v>0</v>
      </c>
      <c r="J194">
        <f t="shared" ca="1" si="22"/>
        <v>20</v>
      </c>
      <c r="K194">
        <f t="shared" ca="1" si="22"/>
        <v>210</v>
      </c>
      <c r="L194" s="3">
        <f t="shared" ca="1" si="24"/>
        <v>2</v>
      </c>
      <c r="M194" s="13">
        <f t="shared" ca="1" si="25"/>
        <v>0.16658861357545968</v>
      </c>
      <c r="N194">
        <f t="shared" ca="1" si="26"/>
        <v>-1.6099999999999999</v>
      </c>
      <c r="O194">
        <f t="shared" ca="1" si="27"/>
        <v>1</v>
      </c>
      <c r="P194">
        <f t="shared" ca="1" si="28"/>
        <v>0</v>
      </c>
      <c r="Q194">
        <f t="shared" ca="1" si="29"/>
        <v>0</v>
      </c>
      <c r="R194">
        <f t="shared" ca="1" si="30"/>
        <v>0</v>
      </c>
      <c r="S194">
        <f t="shared" ca="1" si="31"/>
        <v>0</v>
      </c>
      <c r="T194" s="17">
        <f t="shared" ca="1" si="32"/>
        <v>2.1871428571428568</v>
      </c>
    </row>
    <row r="195" spans="2:20" x14ac:dyDescent="0.3">
      <c r="B195">
        <f t="shared" ca="1" si="23"/>
        <v>33</v>
      </c>
      <c r="C195" cm="1">
        <f t="array" aca="1" ref="C195" ca="1">INDIRECT(ADDRESS(myRAND(1,C$2,C$8:C$9)+5,C$1))</f>
        <v>1</v>
      </c>
      <c r="D195" cm="1">
        <f t="array" aca="1" ref="D195" ca="1">INDIRECT(ADDRESS(myRAND(1,D$2,D$8:D$9)+5,D$1))</f>
        <v>0</v>
      </c>
      <c r="E195" cm="1">
        <f t="array" aca="1" ref="E195" ca="1">INDIRECT(ADDRESS(myRAND(1,E$2,E$8:E$9)+5,E$1))</f>
        <v>0</v>
      </c>
      <c r="F195" cm="1">
        <f t="array" aca="1" ref="F195" ca="1">INDIRECT(ADDRESS(myRAND(1,F$2,F$8:F$9)+5,F$1))</f>
        <v>0</v>
      </c>
      <c r="G195" cm="1">
        <f t="array" aca="1" ref="G195" ca="1">INDIRECT(ADDRESS(myRAND(1,G$2,G$8:G$9)+5,G$1))</f>
        <v>0</v>
      </c>
      <c r="H195" cm="1">
        <f t="array" aca="1" ref="H195" ca="1">INDIRECT(ADDRESS(myRAND(1,H$2,H$8:H$9)+5,H$1))</f>
        <v>0</v>
      </c>
      <c r="I195" cm="1">
        <f t="array" aca="1" ref="I195" ca="1">INDIRECT(ADDRESS(myRAND(1,I$2,I$8:I$9)+5,I$1))</f>
        <v>0</v>
      </c>
      <c r="J195">
        <f t="shared" ca="1" si="22"/>
        <v>15</v>
      </c>
      <c r="K195">
        <f t="shared" ca="1" si="22"/>
        <v>202</v>
      </c>
      <c r="L195" s="3">
        <f t="shared" ca="1" si="24"/>
        <v>1</v>
      </c>
      <c r="M195" s="13">
        <f t="shared" ca="1" si="25"/>
        <v>0.15316371576508622</v>
      </c>
      <c r="N195">
        <f t="shared" ca="1" si="26"/>
        <v>-1.7099999999999997</v>
      </c>
      <c r="O195">
        <f t="shared" ca="1" si="27"/>
        <v>0</v>
      </c>
      <c r="P195">
        <f t="shared" ca="1" si="28"/>
        <v>0</v>
      </c>
      <c r="Q195">
        <f t="shared" ca="1" si="29"/>
        <v>0</v>
      </c>
      <c r="R195">
        <f t="shared" ca="1" si="30"/>
        <v>1</v>
      </c>
      <c r="S195">
        <f t="shared" ca="1" si="31"/>
        <v>0</v>
      </c>
      <c r="T195" s="17">
        <f t="shared" ca="1" si="32"/>
        <v>2.6157142857142857</v>
      </c>
    </row>
    <row r="196" spans="2:20" x14ac:dyDescent="0.3">
      <c r="B196">
        <f t="shared" ca="1" si="23"/>
        <v>43</v>
      </c>
      <c r="C196" cm="1">
        <f t="array" aca="1" ref="C196" ca="1">INDIRECT(ADDRESS(myRAND(1,C$2,C$8:C$9)+5,C$1))</f>
        <v>1</v>
      </c>
      <c r="D196" cm="1">
        <f t="array" aca="1" ref="D196" ca="1">INDIRECT(ADDRESS(myRAND(1,D$2,D$8:D$9)+5,D$1))</f>
        <v>1</v>
      </c>
      <c r="E196" cm="1">
        <f t="array" aca="1" ref="E196" ca="1">INDIRECT(ADDRESS(myRAND(1,E$2,E$8:E$9)+5,E$1))</f>
        <v>0</v>
      </c>
      <c r="F196" cm="1">
        <f t="array" aca="1" ref="F196" ca="1">INDIRECT(ADDRESS(myRAND(1,F$2,F$8:F$9)+5,F$1))</f>
        <v>1</v>
      </c>
      <c r="G196" cm="1">
        <f t="array" aca="1" ref="G196" ca="1">INDIRECT(ADDRESS(myRAND(1,G$2,G$8:G$9)+5,G$1))</f>
        <v>1</v>
      </c>
      <c r="H196" cm="1">
        <f t="array" aca="1" ref="H196" ca="1">INDIRECT(ADDRESS(myRAND(1,H$2,H$8:H$9)+5,H$1))</f>
        <v>1</v>
      </c>
      <c r="I196" cm="1">
        <f t="array" aca="1" ref="I196" ca="1">INDIRECT(ADDRESS(myRAND(1,I$2,I$8:I$9)+5,I$1))</f>
        <v>0</v>
      </c>
      <c r="J196">
        <f t="shared" ca="1" si="22"/>
        <v>16</v>
      </c>
      <c r="K196">
        <f t="shared" ca="1" si="22"/>
        <v>234</v>
      </c>
      <c r="L196" s="3">
        <f t="shared" ca="1" si="24"/>
        <v>3</v>
      </c>
      <c r="M196" s="13">
        <f t="shared" ca="1" si="25"/>
        <v>0.64336514569440162</v>
      </c>
      <c r="N196">
        <f t="shared" ca="1" si="26"/>
        <v>0.58999999999999964</v>
      </c>
      <c r="O196">
        <f t="shared" ca="1" si="27"/>
        <v>0</v>
      </c>
      <c r="P196">
        <f t="shared" ca="1" si="28"/>
        <v>1</v>
      </c>
      <c r="Q196">
        <f t="shared" ca="1" si="29"/>
        <v>0</v>
      </c>
      <c r="R196">
        <f t="shared" ca="1" si="30"/>
        <v>0</v>
      </c>
      <c r="S196">
        <f t="shared" ca="1" si="31"/>
        <v>2</v>
      </c>
      <c r="T196" s="17">
        <f t="shared" ca="1" si="32"/>
        <v>2.9347619047619045</v>
      </c>
    </row>
    <row r="197" spans="2:20" x14ac:dyDescent="0.3">
      <c r="B197">
        <f t="shared" ca="1" si="23"/>
        <v>53</v>
      </c>
      <c r="C197" cm="1">
        <f t="array" aca="1" ref="C197" ca="1">INDIRECT(ADDRESS(myRAND(1,C$2,C$8:C$9)+5,C$1))</f>
        <v>1</v>
      </c>
      <c r="D197" cm="1">
        <f t="array" aca="1" ref="D197" ca="1">INDIRECT(ADDRESS(myRAND(1,D$2,D$8:D$9)+5,D$1))</f>
        <v>1</v>
      </c>
      <c r="E197" cm="1">
        <f t="array" aca="1" ref="E197" ca="1">INDIRECT(ADDRESS(myRAND(1,E$2,E$8:E$9)+5,E$1))</f>
        <v>0</v>
      </c>
      <c r="F197" cm="1">
        <f t="array" aca="1" ref="F197" ca="1">INDIRECT(ADDRESS(myRAND(1,F$2,F$8:F$9)+5,F$1))</f>
        <v>0</v>
      </c>
      <c r="G197" cm="1">
        <f t="array" aca="1" ref="G197" ca="1">INDIRECT(ADDRESS(myRAND(1,G$2,G$8:G$9)+5,G$1))</f>
        <v>1</v>
      </c>
      <c r="H197" cm="1">
        <f t="array" aca="1" ref="H197" ca="1">INDIRECT(ADDRESS(myRAND(1,H$2,H$8:H$9)+5,H$1))</f>
        <v>0</v>
      </c>
      <c r="I197" cm="1">
        <f t="array" aca="1" ref="I197" ca="1">INDIRECT(ADDRESS(myRAND(1,I$2,I$8:I$9)+5,I$1))</f>
        <v>0</v>
      </c>
      <c r="J197">
        <f t="shared" ca="1" si="22"/>
        <v>15</v>
      </c>
      <c r="K197">
        <f t="shared" ca="1" si="22"/>
        <v>223</v>
      </c>
      <c r="L197" s="3">
        <f t="shared" ca="1" si="24"/>
        <v>2</v>
      </c>
      <c r="M197" s="13">
        <f t="shared" ca="1" si="25"/>
        <v>0.28699983724771833</v>
      </c>
      <c r="N197">
        <f t="shared" ca="1" si="26"/>
        <v>-0.90999999999999992</v>
      </c>
      <c r="O197">
        <f t="shared" ca="1" si="27"/>
        <v>0</v>
      </c>
      <c r="P197">
        <f t="shared" ca="1" si="28"/>
        <v>0</v>
      </c>
      <c r="Q197">
        <f t="shared" ca="1" si="29"/>
        <v>1</v>
      </c>
      <c r="R197">
        <f t="shared" ca="1" si="30"/>
        <v>0</v>
      </c>
      <c r="S197">
        <f t="shared" ca="1" si="31"/>
        <v>1</v>
      </c>
      <c r="T197" s="17">
        <f t="shared" ca="1" si="32"/>
        <v>2.9157142857142859</v>
      </c>
    </row>
    <row r="198" spans="2:20" x14ac:dyDescent="0.3">
      <c r="B198">
        <f t="shared" ca="1" si="23"/>
        <v>52</v>
      </c>
      <c r="C198" cm="1">
        <f t="array" aca="1" ref="C198" ca="1">INDIRECT(ADDRESS(myRAND(1,C$2,C$8:C$9)+5,C$1))</f>
        <v>0</v>
      </c>
      <c r="D198" cm="1">
        <f t="array" aca="1" ref="D198" ca="1">INDIRECT(ADDRESS(myRAND(1,D$2,D$8:D$9)+5,D$1))</f>
        <v>1</v>
      </c>
      <c r="E198" cm="1">
        <f t="array" aca="1" ref="E198" ca="1">INDIRECT(ADDRESS(myRAND(1,E$2,E$8:E$9)+5,E$1))</f>
        <v>1</v>
      </c>
      <c r="F198" cm="1">
        <f t="array" aca="1" ref="F198" ca="1">INDIRECT(ADDRESS(myRAND(1,F$2,F$8:F$9)+5,F$1))</f>
        <v>1</v>
      </c>
      <c r="G198" cm="1">
        <f t="array" aca="1" ref="G198" ca="1">INDIRECT(ADDRESS(myRAND(1,G$2,G$8:G$9)+5,G$1))</f>
        <v>1</v>
      </c>
      <c r="H198" cm="1">
        <f t="array" aca="1" ref="H198" ca="1">INDIRECT(ADDRESS(myRAND(1,H$2,H$8:H$9)+5,H$1))</f>
        <v>1</v>
      </c>
      <c r="I198" cm="1">
        <f t="array" aca="1" ref="I198" ca="1">INDIRECT(ADDRESS(myRAND(1,I$2,I$8:I$9)+5,I$1))</f>
        <v>0</v>
      </c>
      <c r="J198">
        <f t="shared" ca="1" si="22"/>
        <v>14</v>
      </c>
      <c r="K198">
        <f t="shared" ca="1" si="22"/>
        <v>208</v>
      </c>
      <c r="L198" s="3">
        <f t="shared" ca="1" si="24"/>
        <v>2</v>
      </c>
      <c r="M198" s="13">
        <f t="shared" ca="1" si="25"/>
        <v>0.16110894957658525</v>
      </c>
      <c r="N198">
        <f t="shared" ca="1" si="26"/>
        <v>-1.65</v>
      </c>
      <c r="O198">
        <f t="shared" ca="1" si="27"/>
        <v>1</v>
      </c>
      <c r="P198">
        <f t="shared" ca="1" si="28"/>
        <v>0</v>
      </c>
      <c r="Q198">
        <f t="shared" ca="1" si="29"/>
        <v>0</v>
      </c>
      <c r="R198">
        <f t="shared" ca="1" si="30"/>
        <v>0</v>
      </c>
      <c r="S198">
        <f t="shared" ca="1" si="31"/>
        <v>2</v>
      </c>
      <c r="T198" s="17">
        <f t="shared" ca="1" si="32"/>
        <v>1.7676190476190476</v>
      </c>
    </row>
    <row r="199" spans="2:20" x14ac:dyDescent="0.3">
      <c r="B199">
        <f t="shared" ca="1" si="23"/>
        <v>62</v>
      </c>
      <c r="C199" cm="1">
        <f t="array" aca="1" ref="C199" ca="1">INDIRECT(ADDRESS(myRAND(1,C$2,C$8:C$9)+5,C$1))</f>
        <v>1</v>
      </c>
      <c r="D199" cm="1">
        <f t="array" aca="1" ref="D199" ca="1">INDIRECT(ADDRESS(myRAND(1,D$2,D$8:D$9)+5,D$1))</f>
        <v>0</v>
      </c>
      <c r="E199" cm="1">
        <f t="array" aca="1" ref="E199" ca="1">INDIRECT(ADDRESS(myRAND(1,E$2,E$8:E$9)+5,E$1))</f>
        <v>0</v>
      </c>
      <c r="F199" cm="1">
        <f t="array" aca="1" ref="F199" ca="1">INDIRECT(ADDRESS(myRAND(1,F$2,F$8:F$9)+5,F$1))</f>
        <v>1</v>
      </c>
      <c r="G199" cm="1">
        <f t="array" aca="1" ref="G199" ca="1">INDIRECT(ADDRESS(myRAND(1,G$2,G$8:G$9)+5,G$1))</f>
        <v>0</v>
      </c>
      <c r="H199" cm="1">
        <f t="array" aca="1" ref="H199" ca="1">INDIRECT(ADDRESS(myRAND(1,H$2,H$8:H$9)+5,H$1))</f>
        <v>0</v>
      </c>
      <c r="I199" cm="1">
        <f t="array" aca="1" ref="I199" ca="1">INDIRECT(ADDRESS(myRAND(1,I$2,I$8:I$9)+5,I$1))</f>
        <v>1</v>
      </c>
      <c r="J199">
        <f t="shared" ca="1" si="22"/>
        <v>14</v>
      </c>
      <c r="K199">
        <f t="shared" ca="1" si="22"/>
        <v>192</v>
      </c>
      <c r="L199" s="3">
        <f t="shared" ca="1" si="24"/>
        <v>3</v>
      </c>
      <c r="M199" s="13">
        <f t="shared" ca="1" si="25"/>
        <v>0.36586440898919936</v>
      </c>
      <c r="N199">
        <f t="shared" ca="1" si="26"/>
        <v>-0.55000000000000004</v>
      </c>
      <c r="O199">
        <f t="shared" ca="1" si="27"/>
        <v>0</v>
      </c>
      <c r="P199">
        <f t="shared" ca="1" si="28"/>
        <v>0</v>
      </c>
      <c r="Q199">
        <f t="shared" ca="1" si="29"/>
        <v>1</v>
      </c>
      <c r="R199">
        <f t="shared" ca="1" si="30"/>
        <v>0</v>
      </c>
      <c r="S199">
        <f t="shared" ca="1" si="31"/>
        <v>1</v>
      </c>
      <c r="T199" s="17">
        <f t="shared" ca="1" si="32"/>
        <v>5.7914285714285718</v>
      </c>
    </row>
    <row r="200" spans="2:20" x14ac:dyDescent="0.3">
      <c r="B200">
        <f t="shared" ca="1" si="23"/>
        <v>42</v>
      </c>
      <c r="C200" cm="1">
        <f t="array" aca="1" ref="C200" ca="1">INDIRECT(ADDRESS(myRAND(1,C$2,C$8:C$9)+5,C$1))</f>
        <v>0</v>
      </c>
      <c r="D200" cm="1">
        <f t="array" aca="1" ref="D200" ca="1">INDIRECT(ADDRESS(myRAND(1,D$2,D$8:D$9)+5,D$1))</f>
        <v>1</v>
      </c>
      <c r="E200" cm="1">
        <f t="array" aca="1" ref="E200" ca="1">INDIRECT(ADDRESS(myRAND(1,E$2,E$8:E$9)+5,E$1))</f>
        <v>1</v>
      </c>
      <c r="F200" cm="1">
        <f t="array" aca="1" ref="F200" ca="1">INDIRECT(ADDRESS(myRAND(1,F$2,F$8:F$9)+5,F$1))</f>
        <v>1</v>
      </c>
      <c r="G200" cm="1">
        <f t="array" aca="1" ref="G200" ca="1">INDIRECT(ADDRESS(myRAND(1,G$2,G$8:G$9)+5,G$1))</f>
        <v>0</v>
      </c>
      <c r="H200" cm="1">
        <f t="array" aca="1" ref="H200" ca="1">INDIRECT(ADDRESS(myRAND(1,H$2,H$8:H$9)+5,H$1))</f>
        <v>0</v>
      </c>
      <c r="I200" cm="1">
        <f t="array" aca="1" ref="I200" ca="1">INDIRECT(ADDRESS(myRAND(1,I$2,I$8:I$9)+5,I$1))</f>
        <v>1</v>
      </c>
      <c r="J200">
        <f t="shared" ca="1" si="22"/>
        <v>14</v>
      </c>
      <c r="K200">
        <f t="shared" ca="1" si="22"/>
        <v>249</v>
      </c>
      <c r="L200" s="3">
        <f t="shared" ca="1" si="24"/>
        <v>1</v>
      </c>
      <c r="M200" s="13">
        <f t="shared" ca="1" si="25"/>
        <v>0.11405238127979084</v>
      </c>
      <c r="N200">
        <f t="shared" ca="1" si="26"/>
        <v>-2.0500000000000003</v>
      </c>
      <c r="O200">
        <f t="shared" ca="1" si="27"/>
        <v>1</v>
      </c>
      <c r="P200">
        <f t="shared" ca="1" si="28"/>
        <v>0</v>
      </c>
      <c r="Q200">
        <f t="shared" ca="1" si="29"/>
        <v>0</v>
      </c>
      <c r="R200">
        <f t="shared" ca="1" si="30"/>
        <v>0</v>
      </c>
      <c r="S200">
        <f t="shared" ca="1" si="31"/>
        <v>1</v>
      </c>
      <c r="T200" s="17">
        <f t="shared" ca="1" si="32"/>
        <v>4.862857142857143</v>
      </c>
    </row>
    <row r="201" spans="2:20" x14ac:dyDescent="0.3">
      <c r="B201">
        <f t="shared" ca="1" si="23"/>
        <v>44</v>
      </c>
      <c r="C201" cm="1">
        <f t="array" aca="1" ref="C201" ca="1">INDIRECT(ADDRESS(myRAND(1,C$2,C$8:C$9)+5,C$1))</f>
        <v>1</v>
      </c>
      <c r="D201" cm="1">
        <f t="array" aca="1" ref="D201" ca="1">INDIRECT(ADDRESS(myRAND(1,D$2,D$8:D$9)+5,D$1))</f>
        <v>1</v>
      </c>
      <c r="E201" cm="1">
        <f t="array" aca="1" ref="E201" ca="1">INDIRECT(ADDRESS(myRAND(1,E$2,E$8:E$9)+5,E$1))</f>
        <v>1</v>
      </c>
      <c r="F201" cm="1">
        <f t="array" aca="1" ref="F201" ca="1">INDIRECT(ADDRESS(myRAND(1,F$2,F$8:F$9)+5,F$1))</f>
        <v>0</v>
      </c>
      <c r="G201" cm="1">
        <f t="array" aca="1" ref="G201" ca="1">INDIRECT(ADDRESS(myRAND(1,G$2,G$8:G$9)+5,G$1))</f>
        <v>0</v>
      </c>
      <c r="H201" cm="1">
        <f t="array" aca="1" ref="H201" ca="1">INDIRECT(ADDRESS(myRAND(1,H$2,H$8:H$9)+5,H$1))</f>
        <v>1</v>
      </c>
      <c r="I201" cm="1">
        <f t="array" aca="1" ref="I201" ca="1">INDIRECT(ADDRESS(myRAND(1,I$2,I$8:I$9)+5,I$1))</f>
        <v>1</v>
      </c>
      <c r="J201">
        <f t="shared" ca="1" si="22"/>
        <v>14</v>
      </c>
      <c r="K201">
        <f t="shared" ca="1" si="22"/>
        <v>174</v>
      </c>
      <c r="L201" s="3">
        <f t="shared" ca="1" si="24"/>
        <v>3</v>
      </c>
      <c r="M201" s="13">
        <f t="shared" ca="1" si="25"/>
        <v>0.6524894621927444</v>
      </c>
      <c r="N201">
        <f t="shared" ca="1" si="26"/>
        <v>0.62999999999999967</v>
      </c>
      <c r="O201">
        <f t="shared" ca="1" si="27"/>
        <v>0</v>
      </c>
      <c r="P201">
        <f t="shared" ca="1" si="28"/>
        <v>1</v>
      </c>
      <c r="Q201">
        <f t="shared" ca="1" si="29"/>
        <v>0</v>
      </c>
      <c r="R201">
        <f t="shared" ca="1" si="30"/>
        <v>0</v>
      </c>
      <c r="S201">
        <f t="shared" ca="1" si="31"/>
        <v>2</v>
      </c>
      <c r="T201" s="17">
        <f t="shared" ca="1" si="32"/>
        <v>5.5257142857142858</v>
      </c>
    </row>
    <row r="202" spans="2:20" x14ac:dyDescent="0.3">
      <c r="B202">
        <f t="shared" ca="1" si="23"/>
        <v>43</v>
      </c>
      <c r="C202" cm="1">
        <f t="array" aca="1" ref="C202" ca="1">INDIRECT(ADDRESS(myRAND(1,C$2,C$8:C$9)+5,C$1))</f>
        <v>1</v>
      </c>
      <c r="D202" cm="1">
        <f t="array" aca="1" ref="D202" ca="1">INDIRECT(ADDRESS(myRAND(1,D$2,D$8:D$9)+5,D$1))</f>
        <v>0</v>
      </c>
      <c r="E202" cm="1">
        <f t="array" aca="1" ref="E202" ca="1">INDIRECT(ADDRESS(myRAND(1,E$2,E$8:E$9)+5,E$1))</f>
        <v>1</v>
      </c>
      <c r="F202" cm="1">
        <f t="array" aca="1" ref="F202" ca="1">INDIRECT(ADDRESS(myRAND(1,F$2,F$8:F$9)+5,F$1))</f>
        <v>0</v>
      </c>
      <c r="G202" cm="1">
        <f t="array" aca="1" ref="G202" ca="1">INDIRECT(ADDRESS(myRAND(1,G$2,G$8:G$9)+5,G$1))</f>
        <v>0</v>
      </c>
      <c r="H202" cm="1">
        <f t="array" aca="1" ref="H202" ca="1">INDIRECT(ADDRESS(myRAND(1,H$2,H$8:H$9)+5,H$1))</f>
        <v>0</v>
      </c>
      <c r="I202" cm="1">
        <f t="array" aca="1" ref="I202" ca="1">INDIRECT(ADDRESS(myRAND(1,I$2,I$8:I$9)+5,I$1))</f>
        <v>0</v>
      </c>
      <c r="J202">
        <f t="shared" ca="1" si="22"/>
        <v>11</v>
      </c>
      <c r="K202">
        <f t="shared" ca="1" si="22"/>
        <v>228</v>
      </c>
      <c r="L202" s="3">
        <f t="shared" ca="1" si="24"/>
        <v>3</v>
      </c>
      <c r="M202" s="13">
        <f t="shared" ca="1" si="25"/>
        <v>0.21248684412253913</v>
      </c>
      <c r="N202">
        <f t="shared" ca="1" si="26"/>
        <v>-1.3100000000000003</v>
      </c>
      <c r="O202">
        <f t="shared" ca="1" si="27"/>
        <v>0</v>
      </c>
      <c r="P202">
        <f t="shared" ca="1" si="28"/>
        <v>0</v>
      </c>
      <c r="Q202">
        <f t="shared" ca="1" si="29"/>
        <v>1</v>
      </c>
      <c r="R202">
        <f t="shared" ca="1" si="30"/>
        <v>0</v>
      </c>
      <c r="S202">
        <f t="shared" ca="1" si="31"/>
        <v>0</v>
      </c>
      <c r="T202" s="17">
        <f t="shared" ca="1" si="32"/>
        <v>2.572857142857143</v>
      </c>
    </row>
    <row r="203" spans="2:20" x14ac:dyDescent="0.3">
      <c r="B203">
        <f t="shared" ca="1" si="23"/>
        <v>62</v>
      </c>
      <c r="C203" cm="1">
        <f t="array" aca="1" ref="C203" ca="1">INDIRECT(ADDRESS(myRAND(1,C$2,C$8:C$9)+5,C$1))</f>
        <v>0</v>
      </c>
      <c r="D203" cm="1">
        <f t="array" aca="1" ref="D203" ca="1">INDIRECT(ADDRESS(myRAND(1,D$2,D$8:D$9)+5,D$1))</f>
        <v>0</v>
      </c>
      <c r="E203" cm="1">
        <f t="array" aca="1" ref="E203" ca="1">INDIRECT(ADDRESS(myRAND(1,E$2,E$8:E$9)+5,E$1))</f>
        <v>0</v>
      </c>
      <c r="F203" cm="1">
        <f t="array" aca="1" ref="F203" ca="1">INDIRECT(ADDRESS(myRAND(1,F$2,F$8:F$9)+5,F$1))</f>
        <v>0</v>
      </c>
      <c r="G203" cm="1">
        <f t="array" aca="1" ref="G203" ca="1">INDIRECT(ADDRESS(myRAND(1,G$2,G$8:G$9)+5,G$1))</f>
        <v>1</v>
      </c>
      <c r="H203" cm="1">
        <f t="array" aca="1" ref="H203" ca="1">INDIRECT(ADDRESS(myRAND(1,H$2,H$8:H$9)+5,H$1))</f>
        <v>0</v>
      </c>
      <c r="I203" cm="1">
        <f t="array" aca="1" ref="I203" ca="1">INDIRECT(ADDRESS(myRAND(1,I$2,I$8:I$9)+5,I$1))</f>
        <v>0</v>
      </c>
      <c r="J203">
        <f t="shared" ca="1" si="22"/>
        <v>13</v>
      </c>
      <c r="K203">
        <f t="shared" ca="1" si="22"/>
        <v>186</v>
      </c>
      <c r="L203" s="3">
        <f t="shared" ca="1" si="24"/>
        <v>1</v>
      </c>
      <c r="M203" s="13">
        <f t="shared" ca="1" si="25"/>
        <v>0.1312444694385233</v>
      </c>
      <c r="N203">
        <f t="shared" ca="1" si="26"/>
        <v>-1.8900000000000001</v>
      </c>
      <c r="O203">
        <f t="shared" ca="1" si="27"/>
        <v>0</v>
      </c>
      <c r="P203">
        <f t="shared" ca="1" si="28"/>
        <v>0</v>
      </c>
      <c r="Q203">
        <f t="shared" ca="1" si="29"/>
        <v>0</v>
      </c>
      <c r="R203">
        <f t="shared" ca="1" si="30"/>
        <v>0</v>
      </c>
      <c r="S203">
        <f t="shared" ca="1" si="31"/>
        <v>1</v>
      </c>
      <c r="T203" s="17">
        <f t="shared" ca="1" si="32"/>
        <v>1.6961904761904762</v>
      </c>
    </row>
    <row r="204" spans="2:20" x14ac:dyDescent="0.3">
      <c r="B204">
        <f t="shared" ca="1" si="23"/>
        <v>46</v>
      </c>
      <c r="C204" cm="1">
        <f t="array" aca="1" ref="C204" ca="1">INDIRECT(ADDRESS(myRAND(1,C$2,C$8:C$9)+5,C$1))</f>
        <v>1</v>
      </c>
      <c r="D204" cm="1">
        <f t="array" aca="1" ref="D204" ca="1">INDIRECT(ADDRESS(myRAND(1,D$2,D$8:D$9)+5,D$1))</f>
        <v>1</v>
      </c>
      <c r="E204" cm="1">
        <f t="array" aca="1" ref="E204" ca="1">INDIRECT(ADDRESS(myRAND(1,E$2,E$8:E$9)+5,E$1))</f>
        <v>0</v>
      </c>
      <c r="F204" cm="1">
        <f t="array" aca="1" ref="F204" ca="1">INDIRECT(ADDRESS(myRAND(1,F$2,F$8:F$9)+5,F$1))</f>
        <v>0</v>
      </c>
      <c r="G204" cm="1">
        <f t="array" aca="1" ref="G204" ca="1">INDIRECT(ADDRESS(myRAND(1,G$2,G$8:G$9)+5,G$1))</f>
        <v>0</v>
      </c>
      <c r="H204" cm="1">
        <f t="array" aca="1" ref="H204" ca="1">INDIRECT(ADDRESS(myRAND(1,H$2,H$8:H$9)+5,H$1))</f>
        <v>1</v>
      </c>
      <c r="I204" cm="1">
        <f t="array" aca="1" ref="I204" ca="1">INDIRECT(ADDRESS(myRAND(1,I$2,I$8:I$9)+5,I$1))</f>
        <v>0</v>
      </c>
      <c r="J204">
        <f t="shared" ca="1" si="22"/>
        <v>15</v>
      </c>
      <c r="K204">
        <f t="shared" ca="1" si="22"/>
        <v>217</v>
      </c>
      <c r="L204" s="3">
        <f t="shared" ca="1" si="24"/>
        <v>3</v>
      </c>
      <c r="M204" s="13">
        <f t="shared" ca="1" si="25"/>
        <v>0.23325893577145715</v>
      </c>
      <c r="N204">
        <f t="shared" ca="1" si="26"/>
        <v>-1.1900000000000002</v>
      </c>
      <c r="O204">
        <f t="shared" ca="1" si="27"/>
        <v>0</v>
      </c>
      <c r="P204">
        <f t="shared" ca="1" si="28"/>
        <v>0</v>
      </c>
      <c r="Q204">
        <f t="shared" ca="1" si="29"/>
        <v>1</v>
      </c>
      <c r="R204">
        <f t="shared" ca="1" si="30"/>
        <v>0</v>
      </c>
      <c r="S204">
        <f t="shared" ca="1" si="31"/>
        <v>1</v>
      </c>
      <c r="T204" s="17">
        <f t="shared" ca="1" si="32"/>
        <v>2.8171428571428572</v>
      </c>
    </row>
    <row r="205" spans="2:20" x14ac:dyDescent="0.3">
      <c r="B205">
        <f t="shared" ca="1" si="23"/>
        <v>60</v>
      </c>
      <c r="C205" cm="1">
        <f t="array" aca="1" ref="C205" ca="1">INDIRECT(ADDRESS(myRAND(1,C$2,C$8:C$9)+5,C$1))</f>
        <v>0</v>
      </c>
      <c r="D205" cm="1">
        <f t="array" aca="1" ref="D205" ca="1">INDIRECT(ADDRESS(myRAND(1,D$2,D$8:D$9)+5,D$1))</f>
        <v>0</v>
      </c>
      <c r="E205" cm="1">
        <f t="array" aca="1" ref="E205" ca="1">INDIRECT(ADDRESS(myRAND(1,E$2,E$8:E$9)+5,E$1))</f>
        <v>0</v>
      </c>
      <c r="F205" cm="1">
        <f t="array" aca="1" ref="F205" ca="1">INDIRECT(ADDRESS(myRAND(1,F$2,F$8:F$9)+5,F$1))</f>
        <v>1</v>
      </c>
      <c r="G205" cm="1">
        <f t="array" aca="1" ref="G205" ca="1">INDIRECT(ADDRESS(myRAND(1,G$2,G$8:G$9)+5,G$1))</f>
        <v>1</v>
      </c>
      <c r="H205" cm="1">
        <f t="array" aca="1" ref="H205" ca="1">INDIRECT(ADDRESS(myRAND(1,H$2,H$8:H$9)+5,H$1))</f>
        <v>0</v>
      </c>
      <c r="I205" cm="1">
        <f t="array" aca="1" ref="I205" ca="1">INDIRECT(ADDRESS(myRAND(1,I$2,I$8:I$9)+5,I$1))</f>
        <v>0</v>
      </c>
      <c r="J205">
        <f t="shared" ca="1" si="22"/>
        <v>13</v>
      </c>
      <c r="K205">
        <f t="shared" ca="1" si="22"/>
        <v>218</v>
      </c>
      <c r="L205" s="3">
        <f t="shared" ca="1" si="24"/>
        <v>1</v>
      </c>
      <c r="M205" s="13">
        <f t="shared" ca="1" si="25"/>
        <v>0.12238888682304884</v>
      </c>
      <c r="N205">
        <f t="shared" ca="1" si="26"/>
        <v>-1.9700000000000002</v>
      </c>
      <c r="O205">
        <f t="shared" ca="1" si="27"/>
        <v>0</v>
      </c>
      <c r="P205">
        <f t="shared" ca="1" si="28"/>
        <v>0</v>
      </c>
      <c r="Q205">
        <f t="shared" ca="1" si="29"/>
        <v>1</v>
      </c>
      <c r="R205">
        <f t="shared" ca="1" si="30"/>
        <v>0</v>
      </c>
      <c r="S205">
        <f t="shared" ca="1" si="31"/>
        <v>1</v>
      </c>
      <c r="T205" s="17">
        <f t="shared" ca="1" si="32"/>
        <v>1.8285714285714287</v>
      </c>
    </row>
    <row r="206" spans="2:20" x14ac:dyDescent="0.3">
      <c r="B206">
        <f t="shared" ca="1" si="23"/>
        <v>45</v>
      </c>
      <c r="C206" cm="1">
        <f t="array" aca="1" ref="C206" ca="1">INDIRECT(ADDRESS(myRAND(1,C$2,C$8:C$9)+5,C$1))</f>
        <v>1</v>
      </c>
      <c r="D206" cm="1">
        <f t="array" aca="1" ref="D206" ca="1">INDIRECT(ADDRESS(myRAND(1,D$2,D$8:D$9)+5,D$1))</f>
        <v>1</v>
      </c>
      <c r="E206" cm="1">
        <f t="array" aca="1" ref="E206" ca="1">INDIRECT(ADDRESS(myRAND(1,E$2,E$8:E$9)+5,E$1))</f>
        <v>1</v>
      </c>
      <c r="F206" cm="1">
        <f t="array" aca="1" ref="F206" ca="1">INDIRECT(ADDRESS(myRAND(1,F$2,F$8:F$9)+5,F$1))</f>
        <v>1</v>
      </c>
      <c r="G206" cm="1">
        <f t="array" aca="1" ref="G206" ca="1">INDIRECT(ADDRESS(myRAND(1,G$2,G$8:G$9)+5,G$1))</f>
        <v>0</v>
      </c>
      <c r="H206" cm="1">
        <f t="array" aca="1" ref="H206" ca="1">INDIRECT(ADDRESS(myRAND(1,H$2,H$8:H$9)+5,H$1))</f>
        <v>0</v>
      </c>
      <c r="I206" cm="1">
        <f t="array" aca="1" ref="I206" ca="1">INDIRECT(ADDRESS(myRAND(1,I$2,I$8:I$9)+5,I$1))</f>
        <v>1</v>
      </c>
      <c r="J206">
        <f t="shared" ca="1" si="22"/>
        <v>18</v>
      </c>
      <c r="K206">
        <f t="shared" ca="1" si="22"/>
        <v>203</v>
      </c>
      <c r="L206" s="3">
        <f t="shared" ca="1" si="24"/>
        <v>3</v>
      </c>
      <c r="M206" s="13">
        <f t="shared" ca="1" si="25"/>
        <v>0.35663485430559821</v>
      </c>
      <c r="N206">
        <f t="shared" ca="1" si="26"/>
        <v>-0.59000000000000019</v>
      </c>
      <c r="O206">
        <f t="shared" ca="1" si="27"/>
        <v>1</v>
      </c>
      <c r="P206">
        <f t="shared" ca="1" si="28"/>
        <v>0</v>
      </c>
      <c r="Q206">
        <f t="shared" ca="1" si="29"/>
        <v>0</v>
      </c>
      <c r="R206">
        <f t="shared" ca="1" si="30"/>
        <v>0</v>
      </c>
      <c r="S206">
        <f t="shared" ca="1" si="31"/>
        <v>1</v>
      </c>
      <c r="T206" s="17">
        <f t="shared" ca="1" si="32"/>
        <v>5.9404761904761907</v>
      </c>
    </row>
    <row r="207" spans="2:20" x14ac:dyDescent="0.3">
      <c r="B207">
        <f t="shared" ca="1" si="23"/>
        <v>54</v>
      </c>
      <c r="C207" cm="1">
        <f t="array" aca="1" ref="C207" ca="1">INDIRECT(ADDRESS(myRAND(1,C$2,C$8:C$9)+5,C$1))</f>
        <v>1</v>
      </c>
      <c r="D207" cm="1">
        <f t="array" aca="1" ref="D207" ca="1">INDIRECT(ADDRESS(myRAND(1,D$2,D$8:D$9)+5,D$1))</f>
        <v>1</v>
      </c>
      <c r="E207" cm="1">
        <f t="array" aca="1" ref="E207" ca="1">INDIRECT(ADDRESS(myRAND(1,E$2,E$8:E$9)+5,E$1))</f>
        <v>0</v>
      </c>
      <c r="F207" cm="1">
        <f t="array" aca="1" ref="F207" ca="1">INDIRECT(ADDRESS(myRAND(1,F$2,F$8:F$9)+5,F$1))</f>
        <v>0</v>
      </c>
      <c r="G207" cm="1">
        <f t="array" aca="1" ref="G207" ca="1">INDIRECT(ADDRESS(myRAND(1,G$2,G$8:G$9)+5,G$1))</f>
        <v>0</v>
      </c>
      <c r="H207" cm="1">
        <f t="array" aca="1" ref="H207" ca="1">INDIRECT(ADDRESS(myRAND(1,H$2,H$8:H$9)+5,H$1))</f>
        <v>0</v>
      </c>
      <c r="I207" cm="1">
        <f t="array" aca="1" ref="I207" ca="1">INDIRECT(ADDRESS(myRAND(1,I$2,I$8:I$9)+5,I$1))</f>
        <v>1</v>
      </c>
      <c r="J207">
        <f t="shared" ca="1" si="22"/>
        <v>15</v>
      </c>
      <c r="K207">
        <f t="shared" ca="1" si="22"/>
        <v>217</v>
      </c>
      <c r="L207" s="3">
        <f t="shared" ca="1" si="24"/>
        <v>3</v>
      </c>
      <c r="M207" s="13">
        <f t="shared" ca="1" si="25"/>
        <v>0.295254302001909</v>
      </c>
      <c r="N207">
        <f t="shared" ca="1" si="26"/>
        <v>-0.86999999999999988</v>
      </c>
      <c r="O207">
        <f t="shared" ca="1" si="27"/>
        <v>0</v>
      </c>
      <c r="P207">
        <f t="shared" ca="1" si="28"/>
        <v>0</v>
      </c>
      <c r="Q207">
        <f t="shared" ca="1" si="29"/>
        <v>1</v>
      </c>
      <c r="R207">
        <f t="shared" ca="1" si="30"/>
        <v>0</v>
      </c>
      <c r="S207">
        <f t="shared" ca="1" si="31"/>
        <v>1</v>
      </c>
      <c r="T207" s="17">
        <f t="shared" ca="1" si="32"/>
        <v>5.8971428571428568</v>
      </c>
    </row>
    <row r="208" spans="2:20" x14ac:dyDescent="0.3">
      <c r="B208">
        <f t="shared" ca="1" si="23"/>
        <v>54</v>
      </c>
      <c r="C208" cm="1">
        <f t="array" aca="1" ref="C208" ca="1">INDIRECT(ADDRESS(myRAND(1,C$2,C$8:C$9)+5,C$1))</f>
        <v>0</v>
      </c>
      <c r="D208" cm="1">
        <f t="array" aca="1" ref="D208" ca="1">INDIRECT(ADDRESS(myRAND(1,D$2,D$8:D$9)+5,D$1))</f>
        <v>1</v>
      </c>
      <c r="E208" cm="1">
        <f t="array" aca="1" ref="E208" ca="1">INDIRECT(ADDRESS(myRAND(1,E$2,E$8:E$9)+5,E$1))</f>
        <v>1</v>
      </c>
      <c r="F208" cm="1">
        <f t="array" aca="1" ref="F208" ca="1">INDIRECT(ADDRESS(myRAND(1,F$2,F$8:F$9)+5,F$1))</f>
        <v>0</v>
      </c>
      <c r="G208" cm="1">
        <f t="array" aca="1" ref="G208" ca="1">INDIRECT(ADDRESS(myRAND(1,G$2,G$8:G$9)+5,G$1))</f>
        <v>1</v>
      </c>
      <c r="H208" cm="1">
        <f t="array" aca="1" ref="H208" ca="1">INDIRECT(ADDRESS(myRAND(1,H$2,H$8:H$9)+5,H$1))</f>
        <v>0</v>
      </c>
      <c r="I208" cm="1">
        <f t="array" aca="1" ref="I208" ca="1">INDIRECT(ADDRESS(myRAND(1,I$2,I$8:I$9)+5,I$1))</f>
        <v>0</v>
      </c>
      <c r="J208">
        <f t="shared" ref="J208:K271" ca="1" si="33">IF(ROUND(NORMINV(RAND(),J$6,J$7),0)&lt;J$8,J$8,ROUND(NORMINV(RAND(),J$6,J$7),0))</f>
        <v>8</v>
      </c>
      <c r="K208">
        <f t="shared" ca="1" si="33"/>
        <v>186</v>
      </c>
      <c r="L208" s="3">
        <f t="shared" ca="1" si="24"/>
        <v>3</v>
      </c>
      <c r="M208" s="13">
        <f t="shared" ca="1" si="25"/>
        <v>0.42311473886795364</v>
      </c>
      <c r="N208">
        <f t="shared" ca="1" si="26"/>
        <v>-0.31000000000000005</v>
      </c>
      <c r="O208">
        <f t="shared" ca="1" si="27"/>
        <v>0</v>
      </c>
      <c r="P208">
        <f t="shared" ca="1" si="28"/>
        <v>1</v>
      </c>
      <c r="Q208">
        <f t="shared" ca="1" si="29"/>
        <v>0</v>
      </c>
      <c r="R208">
        <f t="shared" ca="1" si="30"/>
        <v>0</v>
      </c>
      <c r="S208">
        <f t="shared" ca="1" si="31"/>
        <v>1</v>
      </c>
      <c r="T208" s="17">
        <f t="shared" ca="1" si="32"/>
        <v>1.2828571428571429</v>
      </c>
    </row>
    <row r="209" spans="2:20" x14ac:dyDescent="0.3">
      <c r="B209">
        <f t="shared" ref="B209:B272" ca="1" si="34">IF(ROUND(NORMINV(RAND(),B$6,B$7),0)&lt;B$8,B$8,ROUND(NORMINV(RAND(),B$6,B$7),0))</f>
        <v>60</v>
      </c>
      <c r="C209" cm="1">
        <f t="array" aca="1" ref="C209" ca="1">INDIRECT(ADDRESS(myRAND(1,C$2,C$8:C$9)+5,C$1))</f>
        <v>0</v>
      </c>
      <c r="D209" cm="1">
        <f t="array" aca="1" ref="D209" ca="1">INDIRECT(ADDRESS(myRAND(1,D$2,D$8:D$9)+5,D$1))</f>
        <v>1</v>
      </c>
      <c r="E209" cm="1">
        <f t="array" aca="1" ref="E209" ca="1">INDIRECT(ADDRESS(myRAND(1,E$2,E$8:E$9)+5,E$1))</f>
        <v>1</v>
      </c>
      <c r="F209" cm="1">
        <f t="array" aca="1" ref="F209" ca="1">INDIRECT(ADDRESS(myRAND(1,F$2,F$8:F$9)+5,F$1))</f>
        <v>1</v>
      </c>
      <c r="G209" cm="1">
        <f t="array" aca="1" ref="G209" ca="1">INDIRECT(ADDRESS(myRAND(1,G$2,G$8:G$9)+5,G$1))</f>
        <v>1</v>
      </c>
      <c r="H209" cm="1">
        <f t="array" aca="1" ref="H209" ca="1">INDIRECT(ADDRESS(myRAND(1,H$2,H$8:H$9)+5,H$1))</f>
        <v>0</v>
      </c>
      <c r="I209" cm="1">
        <f t="array" aca="1" ref="I209" ca="1">INDIRECT(ADDRESS(myRAND(1,I$2,I$8:I$9)+5,I$1))</f>
        <v>1</v>
      </c>
      <c r="J209">
        <f t="shared" ca="1" si="33"/>
        <v>13</v>
      </c>
      <c r="K209">
        <f t="shared" ca="1" si="33"/>
        <v>196</v>
      </c>
      <c r="L209" s="3">
        <f t="shared" ref="L209:L272" ca="1" si="35">IF(R209=0,IF(M209&lt;$M$11,1,IF(M209&lt;M205,2,3)),IF(AND(T209&lt;$M$8,S209&lt;$M$9),1,3))</f>
        <v>3</v>
      </c>
      <c r="M209" s="13">
        <f t="shared" ref="M209:M272" ca="1" si="36">1/(1+EXP(-N209))</f>
        <v>0.2091593652130633</v>
      </c>
      <c r="N209">
        <f t="shared" ref="N209:N272" ca="1" si="37">-4.37+0.04*B209+1.34 *C209+1.9 * P209+  0.64 *O209</f>
        <v>-1.33</v>
      </c>
      <c r="O209">
        <f t="shared" ref="O209:O272" ca="1" si="38">IF(SUM(D209:F209)=3,1,0)</f>
        <v>1</v>
      </c>
      <c r="P209">
        <f t="shared" ref="P209:P272" ca="1" si="39">IF(SUM(D209:F209)=2,1,0)</f>
        <v>0</v>
      </c>
      <c r="Q209">
        <f t="shared" ref="Q209:Q272" ca="1" si="40">IF(SUM(D209:F209)=1,1,0)</f>
        <v>0</v>
      </c>
      <c r="R209">
        <f t="shared" ref="R209:R272" ca="1" si="41">IF(SUM(D209:G209)=0,1,0)</f>
        <v>0</v>
      </c>
      <c r="S209">
        <f t="shared" ref="S209:S272" ca="1" si="42">SUM(G209:I209)</f>
        <v>2</v>
      </c>
      <c r="T209" s="17">
        <f t="shared" ref="T209:T272" ca="1" si="43">(B209-20)/100 *$T$5 + C209*$T$6+(K209-100)/$K$6*$T$7+J209/$J$6*$T$8+I209*$T$9</f>
        <v>4.7238095238095239</v>
      </c>
    </row>
    <row r="210" spans="2:20" x14ac:dyDescent="0.3">
      <c r="B210">
        <f t="shared" ca="1" si="34"/>
        <v>42</v>
      </c>
      <c r="C210" cm="1">
        <f t="array" aca="1" ref="C210" ca="1">INDIRECT(ADDRESS(myRAND(1,C$2,C$8:C$9)+5,C$1))</f>
        <v>1</v>
      </c>
      <c r="D210" cm="1">
        <f t="array" aca="1" ref="D210" ca="1">INDIRECT(ADDRESS(myRAND(1,D$2,D$8:D$9)+5,D$1))</f>
        <v>0</v>
      </c>
      <c r="E210" cm="1">
        <f t="array" aca="1" ref="E210" ca="1">INDIRECT(ADDRESS(myRAND(1,E$2,E$8:E$9)+5,E$1))</f>
        <v>1</v>
      </c>
      <c r="F210" cm="1">
        <f t="array" aca="1" ref="F210" ca="1">INDIRECT(ADDRESS(myRAND(1,F$2,F$8:F$9)+5,F$1))</f>
        <v>1</v>
      </c>
      <c r="G210" cm="1">
        <f t="array" aca="1" ref="G210" ca="1">INDIRECT(ADDRESS(myRAND(1,G$2,G$8:G$9)+5,G$1))</f>
        <v>0</v>
      </c>
      <c r="H210" cm="1">
        <f t="array" aca="1" ref="H210" ca="1">INDIRECT(ADDRESS(myRAND(1,H$2,H$8:H$9)+5,H$1))</f>
        <v>0</v>
      </c>
      <c r="I210" cm="1">
        <f t="array" aca="1" ref="I210" ca="1">INDIRECT(ADDRESS(myRAND(1,I$2,I$8:I$9)+5,I$1))</f>
        <v>0</v>
      </c>
      <c r="J210">
        <f t="shared" ca="1" si="33"/>
        <v>15</v>
      </c>
      <c r="K210">
        <f t="shared" ca="1" si="33"/>
        <v>258</v>
      </c>
      <c r="L210" s="3">
        <f t="shared" ca="1" si="35"/>
        <v>3</v>
      </c>
      <c r="M210" s="13">
        <f t="shared" ca="1" si="36"/>
        <v>0.63413559101080064</v>
      </c>
      <c r="N210">
        <f t="shared" ca="1" si="37"/>
        <v>0.5499999999999996</v>
      </c>
      <c r="O210">
        <f t="shared" ca="1" si="38"/>
        <v>0</v>
      </c>
      <c r="P210">
        <f t="shared" ca="1" si="39"/>
        <v>1</v>
      </c>
      <c r="Q210">
        <f t="shared" ca="1" si="40"/>
        <v>0</v>
      </c>
      <c r="R210">
        <f t="shared" ca="1" si="41"/>
        <v>0</v>
      </c>
      <c r="S210">
        <f t="shared" ca="1" si="42"/>
        <v>0</v>
      </c>
      <c r="T210" s="17">
        <f t="shared" ca="1" si="43"/>
        <v>2.9723809523809521</v>
      </c>
    </row>
    <row r="211" spans="2:20" x14ac:dyDescent="0.3">
      <c r="B211">
        <f t="shared" ca="1" si="34"/>
        <v>43</v>
      </c>
      <c r="C211" cm="1">
        <f t="array" aca="1" ref="C211" ca="1">INDIRECT(ADDRESS(myRAND(1,C$2,C$8:C$9)+5,C$1))</f>
        <v>1</v>
      </c>
      <c r="D211" cm="1">
        <f t="array" aca="1" ref="D211" ca="1">INDIRECT(ADDRESS(myRAND(1,D$2,D$8:D$9)+5,D$1))</f>
        <v>1</v>
      </c>
      <c r="E211" cm="1">
        <f t="array" aca="1" ref="E211" ca="1">INDIRECT(ADDRESS(myRAND(1,E$2,E$8:E$9)+5,E$1))</f>
        <v>1</v>
      </c>
      <c r="F211" cm="1">
        <f t="array" aca="1" ref="F211" ca="1">INDIRECT(ADDRESS(myRAND(1,F$2,F$8:F$9)+5,F$1))</f>
        <v>1</v>
      </c>
      <c r="G211" cm="1">
        <f t="array" aca="1" ref="G211" ca="1">INDIRECT(ADDRESS(myRAND(1,G$2,G$8:G$9)+5,G$1))</f>
        <v>0</v>
      </c>
      <c r="H211" cm="1">
        <f t="array" aca="1" ref="H211" ca="1">INDIRECT(ADDRESS(myRAND(1,H$2,H$8:H$9)+5,H$1))</f>
        <v>0</v>
      </c>
      <c r="I211" cm="1">
        <f t="array" aca="1" ref="I211" ca="1">INDIRECT(ADDRESS(myRAND(1,I$2,I$8:I$9)+5,I$1))</f>
        <v>1</v>
      </c>
      <c r="J211">
        <f t="shared" ca="1" si="33"/>
        <v>20</v>
      </c>
      <c r="K211">
        <f t="shared" ca="1" si="33"/>
        <v>205</v>
      </c>
      <c r="L211" s="3">
        <f t="shared" ca="1" si="35"/>
        <v>3</v>
      </c>
      <c r="M211" s="13">
        <f t="shared" ca="1" si="36"/>
        <v>0.3384968407970475</v>
      </c>
      <c r="N211">
        <f t="shared" ca="1" si="37"/>
        <v>-0.67000000000000026</v>
      </c>
      <c r="O211">
        <f t="shared" ca="1" si="38"/>
        <v>1</v>
      </c>
      <c r="P211">
        <f t="shared" ca="1" si="39"/>
        <v>0</v>
      </c>
      <c r="Q211">
        <f t="shared" ca="1" si="40"/>
        <v>0</v>
      </c>
      <c r="R211">
        <f t="shared" ca="1" si="41"/>
        <v>0</v>
      </c>
      <c r="S211">
        <f t="shared" ca="1" si="42"/>
        <v>1</v>
      </c>
      <c r="T211" s="17">
        <f t="shared" ca="1" si="43"/>
        <v>6.0633333333333335</v>
      </c>
    </row>
    <row r="212" spans="2:20" x14ac:dyDescent="0.3">
      <c r="B212">
        <f t="shared" ca="1" si="34"/>
        <v>63</v>
      </c>
      <c r="C212" cm="1">
        <f t="array" aca="1" ref="C212" ca="1">INDIRECT(ADDRESS(myRAND(1,C$2,C$8:C$9)+5,C$1))</f>
        <v>0</v>
      </c>
      <c r="D212" cm="1">
        <f t="array" aca="1" ref="D212" ca="1">INDIRECT(ADDRESS(myRAND(1,D$2,D$8:D$9)+5,D$1))</f>
        <v>0</v>
      </c>
      <c r="E212" cm="1">
        <f t="array" aca="1" ref="E212" ca="1">INDIRECT(ADDRESS(myRAND(1,E$2,E$8:E$9)+5,E$1))</f>
        <v>0</v>
      </c>
      <c r="F212" cm="1">
        <f t="array" aca="1" ref="F212" ca="1">INDIRECT(ADDRESS(myRAND(1,F$2,F$8:F$9)+5,F$1))</f>
        <v>1</v>
      </c>
      <c r="G212" cm="1">
        <f t="array" aca="1" ref="G212" ca="1">INDIRECT(ADDRESS(myRAND(1,G$2,G$8:G$9)+5,G$1))</f>
        <v>0</v>
      </c>
      <c r="H212" cm="1">
        <f t="array" aca="1" ref="H212" ca="1">INDIRECT(ADDRESS(myRAND(1,H$2,H$8:H$9)+5,H$1))</f>
        <v>0</v>
      </c>
      <c r="I212" cm="1">
        <f t="array" aca="1" ref="I212" ca="1">INDIRECT(ADDRESS(myRAND(1,I$2,I$8:I$9)+5,I$1))</f>
        <v>1</v>
      </c>
      <c r="J212">
        <f t="shared" ca="1" si="33"/>
        <v>14</v>
      </c>
      <c r="K212">
        <f t="shared" ca="1" si="33"/>
        <v>196</v>
      </c>
      <c r="L212" s="3">
        <f t="shared" ca="1" si="35"/>
        <v>1</v>
      </c>
      <c r="M212" s="13">
        <f t="shared" ca="1" si="36"/>
        <v>0.13587289700909427</v>
      </c>
      <c r="N212">
        <f t="shared" ca="1" si="37"/>
        <v>-1.85</v>
      </c>
      <c r="O212">
        <f t="shared" ca="1" si="38"/>
        <v>0</v>
      </c>
      <c r="P212">
        <f t="shared" ca="1" si="39"/>
        <v>0</v>
      </c>
      <c r="Q212">
        <f t="shared" ca="1" si="40"/>
        <v>1</v>
      </c>
      <c r="R212">
        <f t="shared" ca="1" si="41"/>
        <v>0</v>
      </c>
      <c r="S212">
        <f t="shared" ca="1" si="42"/>
        <v>1</v>
      </c>
      <c r="T212" s="17">
        <f t="shared" ca="1" si="43"/>
        <v>4.8204761904761906</v>
      </c>
    </row>
    <row r="213" spans="2:20" x14ac:dyDescent="0.3">
      <c r="B213">
        <f t="shared" ca="1" si="34"/>
        <v>53</v>
      </c>
      <c r="C213" cm="1">
        <f t="array" aca="1" ref="C213" ca="1">INDIRECT(ADDRESS(myRAND(1,C$2,C$8:C$9)+5,C$1))</f>
        <v>1</v>
      </c>
      <c r="D213" cm="1">
        <f t="array" aca="1" ref="D213" ca="1">INDIRECT(ADDRESS(myRAND(1,D$2,D$8:D$9)+5,D$1))</f>
        <v>0</v>
      </c>
      <c r="E213" cm="1">
        <f t="array" aca="1" ref="E213" ca="1">INDIRECT(ADDRESS(myRAND(1,E$2,E$8:E$9)+5,E$1))</f>
        <v>0</v>
      </c>
      <c r="F213" cm="1">
        <f t="array" aca="1" ref="F213" ca="1">INDIRECT(ADDRESS(myRAND(1,F$2,F$8:F$9)+5,F$1))</f>
        <v>1</v>
      </c>
      <c r="G213" cm="1">
        <f t="array" aca="1" ref="G213" ca="1">INDIRECT(ADDRESS(myRAND(1,G$2,G$8:G$9)+5,G$1))</f>
        <v>0</v>
      </c>
      <c r="H213" cm="1">
        <f t="array" aca="1" ref="H213" ca="1">INDIRECT(ADDRESS(myRAND(1,H$2,H$8:H$9)+5,H$1))</f>
        <v>0</v>
      </c>
      <c r="I213" cm="1">
        <f t="array" aca="1" ref="I213" ca="1">INDIRECT(ADDRESS(myRAND(1,I$2,I$8:I$9)+5,I$1))</f>
        <v>1</v>
      </c>
      <c r="J213">
        <f t="shared" ca="1" si="33"/>
        <v>19</v>
      </c>
      <c r="K213">
        <f t="shared" ca="1" si="33"/>
        <v>240</v>
      </c>
      <c r="L213" s="3">
        <f t="shared" ca="1" si="35"/>
        <v>3</v>
      </c>
      <c r="M213" s="13">
        <f t="shared" ca="1" si="36"/>
        <v>0.28699983724771833</v>
      </c>
      <c r="N213">
        <f t="shared" ca="1" si="37"/>
        <v>-0.90999999999999992</v>
      </c>
      <c r="O213">
        <f t="shared" ca="1" si="38"/>
        <v>0</v>
      </c>
      <c r="P213">
        <f t="shared" ca="1" si="39"/>
        <v>0</v>
      </c>
      <c r="Q213">
        <f t="shared" ca="1" si="40"/>
        <v>1</v>
      </c>
      <c r="R213">
        <f t="shared" ca="1" si="41"/>
        <v>0</v>
      </c>
      <c r="S213">
        <f t="shared" ca="1" si="42"/>
        <v>1</v>
      </c>
      <c r="T213" s="17">
        <f t="shared" ca="1" si="43"/>
        <v>6.2633333333333336</v>
      </c>
    </row>
    <row r="214" spans="2:20" x14ac:dyDescent="0.3">
      <c r="B214">
        <f t="shared" ca="1" si="34"/>
        <v>75</v>
      </c>
      <c r="C214" cm="1">
        <f t="array" aca="1" ref="C214" ca="1">INDIRECT(ADDRESS(myRAND(1,C$2,C$8:C$9)+5,C$1))</f>
        <v>1</v>
      </c>
      <c r="D214" cm="1">
        <f t="array" aca="1" ref="D214" ca="1">INDIRECT(ADDRESS(myRAND(1,D$2,D$8:D$9)+5,D$1))</f>
        <v>1</v>
      </c>
      <c r="E214" cm="1">
        <f t="array" aca="1" ref="E214" ca="1">INDIRECT(ADDRESS(myRAND(1,E$2,E$8:E$9)+5,E$1))</f>
        <v>0</v>
      </c>
      <c r="F214" cm="1">
        <f t="array" aca="1" ref="F214" ca="1">INDIRECT(ADDRESS(myRAND(1,F$2,F$8:F$9)+5,F$1))</f>
        <v>1</v>
      </c>
      <c r="G214" cm="1">
        <f t="array" aca="1" ref="G214" ca="1">INDIRECT(ADDRESS(myRAND(1,G$2,G$8:G$9)+5,G$1))</f>
        <v>0</v>
      </c>
      <c r="H214" cm="1">
        <f t="array" aca="1" ref="H214" ca="1">INDIRECT(ADDRESS(myRAND(1,H$2,H$8:H$9)+5,H$1))</f>
        <v>1</v>
      </c>
      <c r="I214" cm="1">
        <f t="array" aca="1" ref="I214" ca="1">INDIRECT(ADDRESS(myRAND(1,I$2,I$8:I$9)+5,I$1))</f>
        <v>0</v>
      </c>
      <c r="J214">
        <f t="shared" ca="1" si="33"/>
        <v>20</v>
      </c>
      <c r="K214">
        <f t="shared" ca="1" si="33"/>
        <v>209</v>
      </c>
      <c r="L214" s="3">
        <f t="shared" ca="1" si="35"/>
        <v>3</v>
      </c>
      <c r="M214" s="13">
        <f t="shared" ca="1" si="36"/>
        <v>0.86645827746678761</v>
      </c>
      <c r="N214">
        <f t="shared" ca="1" si="37"/>
        <v>1.8699999999999999</v>
      </c>
      <c r="O214">
        <f t="shared" ca="1" si="38"/>
        <v>0</v>
      </c>
      <c r="P214">
        <f t="shared" ca="1" si="39"/>
        <v>1</v>
      </c>
      <c r="Q214">
        <f t="shared" ca="1" si="40"/>
        <v>0</v>
      </c>
      <c r="R214">
        <f t="shared" ca="1" si="41"/>
        <v>0</v>
      </c>
      <c r="S214">
        <f t="shared" ca="1" si="42"/>
        <v>1</v>
      </c>
      <c r="T214" s="17">
        <f t="shared" ca="1" si="43"/>
        <v>3.4023809523809527</v>
      </c>
    </row>
    <row r="215" spans="2:20" x14ac:dyDescent="0.3">
      <c r="B215">
        <f t="shared" ca="1" si="34"/>
        <v>86</v>
      </c>
      <c r="C215" cm="1">
        <f t="array" aca="1" ref="C215" ca="1">INDIRECT(ADDRESS(myRAND(1,C$2,C$8:C$9)+5,C$1))</f>
        <v>0</v>
      </c>
      <c r="D215" cm="1">
        <f t="array" aca="1" ref="D215" ca="1">INDIRECT(ADDRESS(myRAND(1,D$2,D$8:D$9)+5,D$1))</f>
        <v>0</v>
      </c>
      <c r="E215" cm="1">
        <f t="array" aca="1" ref="E215" ca="1">INDIRECT(ADDRESS(myRAND(1,E$2,E$8:E$9)+5,E$1))</f>
        <v>1</v>
      </c>
      <c r="F215" cm="1">
        <f t="array" aca="1" ref="F215" ca="1">INDIRECT(ADDRESS(myRAND(1,F$2,F$8:F$9)+5,F$1))</f>
        <v>1</v>
      </c>
      <c r="G215" cm="1">
        <f t="array" aca="1" ref="G215" ca="1">INDIRECT(ADDRESS(myRAND(1,G$2,G$8:G$9)+5,G$1))</f>
        <v>0</v>
      </c>
      <c r="H215" cm="1">
        <f t="array" aca="1" ref="H215" ca="1">INDIRECT(ADDRESS(myRAND(1,H$2,H$8:H$9)+5,H$1))</f>
        <v>0</v>
      </c>
      <c r="I215" cm="1">
        <f t="array" aca="1" ref="I215" ca="1">INDIRECT(ADDRESS(myRAND(1,I$2,I$8:I$9)+5,I$1))</f>
        <v>0</v>
      </c>
      <c r="J215">
        <f t="shared" ca="1" si="33"/>
        <v>13</v>
      </c>
      <c r="K215">
        <f t="shared" ca="1" si="33"/>
        <v>221</v>
      </c>
      <c r="L215" s="3">
        <f t="shared" ca="1" si="35"/>
        <v>3</v>
      </c>
      <c r="M215" s="13">
        <f t="shared" ca="1" si="36"/>
        <v>0.72511949778982299</v>
      </c>
      <c r="N215">
        <f t="shared" ca="1" si="37"/>
        <v>0.96999999999999975</v>
      </c>
      <c r="O215">
        <f t="shared" ca="1" si="38"/>
        <v>0</v>
      </c>
      <c r="P215">
        <f t="shared" ca="1" si="39"/>
        <v>1</v>
      </c>
      <c r="Q215">
        <f t="shared" ca="1" si="40"/>
        <v>0</v>
      </c>
      <c r="R215">
        <f t="shared" ca="1" si="41"/>
        <v>0</v>
      </c>
      <c r="S215">
        <f t="shared" ca="1" si="42"/>
        <v>0</v>
      </c>
      <c r="T215" s="17">
        <f t="shared" ca="1" si="43"/>
        <v>2.1028571428571428</v>
      </c>
    </row>
    <row r="216" spans="2:20" x14ac:dyDescent="0.3">
      <c r="B216">
        <f t="shared" ca="1" si="34"/>
        <v>74</v>
      </c>
      <c r="C216" cm="1">
        <f t="array" aca="1" ref="C216" ca="1">INDIRECT(ADDRESS(myRAND(1,C$2,C$8:C$9)+5,C$1))</f>
        <v>0</v>
      </c>
      <c r="D216" cm="1">
        <f t="array" aca="1" ref="D216" ca="1">INDIRECT(ADDRESS(myRAND(1,D$2,D$8:D$9)+5,D$1))</f>
        <v>0</v>
      </c>
      <c r="E216" cm="1">
        <f t="array" aca="1" ref="E216" ca="1">INDIRECT(ADDRESS(myRAND(1,E$2,E$8:E$9)+5,E$1))</f>
        <v>0</v>
      </c>
      <c r="F216" cm="1">
        <f t="array" aca="1" ref="F216" ca="1">INDIRECT(ADDRESS(myRAND(1,F$2,F$8:F$9)+5,F$1))</f>
        <v>0</v>
      </c>
      <c r="G216" cm="1">
        <f t="array" aca="1" ref="G216" ca="1">INDIRECT(ADDRESS(myRAND(1,G$2,G$8:G$9)+5,G$1))</f>
        <v>0</v>
      </c>
      <c r="H216" cm="1">
        <f t="array" aca="1" ref="H216" ca="1">INDIRECT(ADDRESS(myRAND(1,H$2,H$8:H$9)+5,H$1))</f>
        <v>0</v>
      </c>
      <c r="I216" cm="1">
        <f t="array" aca="1" ref="I216" ca="1">INDIRECT(ADDRESS(myRAND(1,I$2,I$8:I$9)+5,I$1))</f>
        <v>1</v>
      </c>
      <c r="J216">
        <f t="shared" ca="1" si="33"/>
        <v>12</v>
      </c>
      <c r="K216">
        <f t="shared" ca="1" si="33"/>
        <v>213</v>
      </c>
      <c r="L216" s="3">
        <f t="shared" ca="1" si="35"/>
        <v>3</v>
      </c>
      <c r="M216" s="13">
        <f t="shared" ca="1" si="36"/>
        <v>0.19623405636577912</v>
      </c>
      <c r="N216">
        <f t="shared" ca="1" si="37"/>
        <v>-1.4100000000000001</v>
      </c>
      <c r="O216">
        <f t="shared" ca="1" si="38"/>
        <v>0</v>
      </c>
      <c r="P216">
        <f t="shared" ca="1" si="39"/>
        <v>0</v>
      </c>
      <c r="Q216">
        <f t="shared" ca="1" si="40"/>
        <v>0</v>
      </c>
      <c r="R216">
        <f t="shared" ca="1" si="41"/>
        <v>1</v>
      </c>
      <c r="S216">
        <f t="shared" ca="1" si="42"/>
        <v>1</v>
      </c>
      <c r="T216" s="17">
        <f t="shared" ca="1" si="43"/>
        <v>4.8780952380952378</v>
      </c>
    </row>
    <row r="217" spans="2:20" x14ac:dyDescent="0.3">
      <c r="B217">
        <f t="shared" ca="1" si="34"/>
        <v>43</v>
      </c>
      <c r="C217" cm="1">
        <f t="array" aca="1" ref="C217" ca="1">INDIRECT(ADDRESS(myRAND(1,C$2,C$8:C$9)+5,C$1))</f>
        <v>0</v>
      </c>
      <c r="D217" cm="1">
        <f t="array" aca="1" ref="D217" ca="1">INDIRECT(ADDRESS(myRAND(1,D$2,D$8:D$9)+5,D$1))</f>
        <v>0</v>
      </c>
      <c r="E217" cm="1">
        <f t="array" aca="1" ref="E217" ca="1">INDIRECT(ADDRESS(myRAND(1,E$2,E$8:E$9)+5,E$1))</f>
        <v>1</v>
      </c>
      <c r="F217" cm="1">
        <f t="array" aca="1" ref="F217" ca="1">INDIRECT(ADDRESS(myRAND(1,F$2,F$8:F$9)+5,F$1))</f>
        <v>1</v>
      </c>
      <c r="G217" cm="1">
        <f t="array" aca="1" ref="G217" ca="1">INDIRECT(ADDRESS(myRAND(1,G$2,G$8:G$9)+5,G$1))</f>
        <v>1</v>
      </c>
      <c r="H217" cm="1">
        <f t="array" aca="1" ref="H217" ca="1">INDIRECT(ADDRESS(myRAND(1,H$2,H$8:H$9)+5,H$1))</f>
        <v>0</v>
      </c>
      <c r="I217" cm="1">
        <f t="array" aca="1" ref="I217" ca="1">INDIRECT(ADDRESS(myRAND(1,I$2,I$8:I$9)+5,I$1))</f>
        <v>1</v>
      </c>
      <c r="J217">
        <f t="shared" ca="1" si="33"/>
        <v>13</v>
      </c>
      <c r="K217">
        <f t="shared" ca="1" si="33"/>
        <v>195</v>
      </c>
      <c r="L217" s="3">
        <f t="shared" ca="1" si="35"/>
        <v>3</v>
      </c>
      <c r="M217" s="13">
        <f t="shared" ca="1" si="36"/>
        <v>0.32082130082460691</v>
      </c>
      <c r="N217">
        <f t="shared" ca="1" si="37"/>
        <v>-0.75000000000000044</v>
      </c>
      <c r="O217">
        <f t="shared" ca="1" si="38"/>
        <v>0</v>
      </c>
      <c r="P217">
        <f t="shared" ca="1" si="39"/>
        <v>1</v>
      </c>
      <c r="Q217">
        <f t="shared" ca="1" si="40"/>
        <v>0</v>
      </c>
      <c r="R217">
        <f t="shared" ca="1" si="41"/>
        <v>0</v>
      </c>
      <c r="S217">
        <f t="shared" ca="1" si="42"/>
        <v>2</v>
      </c>
      <c r="T217" s="17">
        <f t="shared" ca="1" si="43"/>
        <v>4.5490476190476192</v>
      </c>
    </row>
    <row r="218" spans="2:20" x14ac:dyDescent="0.3">
      <c r="B218">
        <f t="shared" ca="1" si="34"/>
        <v>42</v>
      </c>
      <c r="C218" cm="1">
        <f t="array" aca="1" ref="C218" ca="1">INDIRECT(ADDRESS(myRAND(1,C$2,C$8:C$9)+5,C$1))</f>
        <v>1</v>
      </c>
      <c r="D218" cm="1">
        <f t="array" aca="1" ref="D218" ca="1">INDIRECT(ADDRESS(myRAND(1,D$2,D$8:D$9)+5,D$1))</f>
        <v>1</v>
      </c>
      <c r="E218" cm="1">
        <f t="array" aca="1" ref="E218" ca="1">INDIRECT(ADDRESS(myRAND(1,E$2,E$8:E$9)+5,E$1))</f>
        <v>0</v>
      </c>
      <c r="F218" cm="1">
        <f t="array" aca="1" ref="F218" ca="1">INDIRECT(ADDRESS(myRAND(1,F$2,F$8:F$9)+5,F$1))</f>
        <v>0</v>
      </c>
      <c r="G218" cm="1">
        <f t="array" aca="1" ref="G218" ca="1">INDIRECT(ADDRESS(myRAND(1,G$2,G$8:G$9)+5,G$1))</f>
        <v>0</v>
      </c>
      <c r="H218" cm="1">
        <f t="array" aca="1" ref="H218" ca="1">INDIRECT(ADDRESS(myRAND(1,H$2,H$8:H$9)+5,H$1))</f>
        <v>0</v>
      </c>
      <c r="I218" cm="1">
        <f t="array" aca="1" ref="I218" ca="1">INDIRECT(ADDRESS(myRAND(1,I$2,I$8:I$9)+5,I$1))</f>
        <v>1</v>
      </c>
      <c r="J218">
        <f t="shared" ca="1" si="33"/>
        <v>13</v>
      </c>
      <c r="K218">
        <f t="shared" ca="1" si="33"/>
        <v>243</v>
      </c>
      <c r="L218" s="3">
        <f t="shared" ca="1" si="35"/>
        <v>2</v>
      </c>
      <c r="M218" s="13">
        <f t="shared" ca="1" si="36"/>
        <v>0.20587037180094728</v>
      </c>
      <c r="N218">
        <f t="shared" ca="1" si="37"/>
        <v>-1.3500000000000003</v>
      </c>
      <c r="O218">
        <f t="shared" ca="1" si="38"/>
        <v>0</v>
      </c>
      <c r="P218">
        <f t="shared" ca="1" si="39"/>
        <v>0</v>
      </c>
      <c r="Q218">
        <f t="shared" ca="1" si="40"/>
        <v>1</v>
      </c>
      <c r="R218">
        <f t="shared" ca="1" si="41"/>
        <v>0</v>
      </c>
      <c r="S218">
        <f t="shared" ca="1" si="42"/>
        <v>1</v>
      </c>
      <c r="T218" s="17">
        <f t="shared" ca="1" si="43"/>
        <v>5.7676190476190481</v>
      </c>
    </row>
    <row r="219" spans="2:20" x14ac:dyDescent="0.3">
      <c r="B219">
        <f t="shared" ca="1" si="34"/>
        <v>51</v>
      </c>
      <c r="C219" cm="1">
        <f t="array" aca="1" ref="C219" ca="1">INDIRECT(ADDRESS(myRAND(1,C$2,C$8:C$9)+5,C$1))</f>
        <v>0</v>
      </c>
      <c r="D219" cm="1">
        <f t="array" aca="1" ref="D219" ca="1">INDIRECT(ADDRESS(myRAND(1,D$2,D$8:D$9)+5,D$1))</f>
        <v>0</v>
      </c>
      <c r="E219" cm="1">
        <f t="array" aca="1" ref="E219" ca="1">INDIRECT(ADDRESS(myRAND(1,E$2,E$8:E$9)+5,E$1))</f>
        <v>0</v>
      </c>
      <c r="F219" cm="1">
        <f t="array" aca="1" ref="F219" ca="1">INDIRECT(ADDRESS(myRAND(1,F$2,F$8:F$9)+5,F$1))</f>
        <v>1</v>
      </c>
      <c r="G219" cm="1">
        <f t="array" aca="1" ref="G219" ca="1">INDIRECT(ADDRESS(myRAND(1,G$2,G$8:G$9)+5,G$1))</f>
        <v>0</v>
      </c>
      <c r="H219" cm="1">
        <f t="array" aca="1" ref="H219" ca="1">INDIRECT(ADDRESS(myRAND(1,H$2,H$8:H$9)+5,H$1))</f>
        <v>0</v>
      </c>
      <c r="I219" cm="1">
        <f t="array" aca="1" ref="I219" ca="1">INDIRECT(ADDRESS(myRAND(1,I$2,I$8:I$9)+5,I$1))</f>
        <v>1</v>
      </c>
      <c r="J219">
        <f t="shared" ca="1" si="33"/>
        <v>16</v>
      </c>
      <c r="K219">
        <f t="shared" ca="1" si="33"/>
        <v>215</v>
      </c>
      <c r="L219" s="3">
        <f t="shared" ca="1" si="35"/>
        <v>1</v>
      </c>
      <c r="M219" s="13">
        <f t="shared" ca="1" si="36"/>
        <v>8.8668663254733285E-2</v>
      </c>
      <c r="N219">
        <f t="shared" ca="1" si="37"/>
        <v>-2.33</v>
      </c>
      <c r="O219">
        <f t="shared" ca="1" si="38"/>
        <v>0</v>
      </c>
      <c r="P219">
        <f t="shared" ca="1" si="39"/>
        <v>0</v>
      </c>
      <c r="Q219">
        <f t="shared" ca="1" si="40"/>
        <v>1</v>
      </c>
      <c r="R219">
        <f t="shared" ca="1" si="41"/>
        <v>0</v>
      </c>
      <c r="S219">
        <f t="shared" ca="1" si="42"/>
        <v>1</v>
      </c>
      <c r="T219" s="17">
        <f t="shared" ca="1" si="43"/>
        <v>4.9242857142857144</v>
      </c>
    </row>
    <row r="220" spans="2:20" x14ac:dyDescent="0.3">
      <c r="B220">
        <f t="shared" ca="1" si="34"/>
        <v>45</v>
      </c>
      <c r="C220" cm="1">
        <f t="array" aca="1" ref="C220" ca="1">INDIRECT(ADDRESS(myRAND(1,C$2,C$8:C$9)+5,C$1))</f>
        <v>0</v>
      </c>
      <c r="D220" cm="1">
        <f t="array" aca="1" ref="D220" ca="1">INDIRECT(ADDRESS(myRAND(1,D$2,D$8:D$9)+5,D$1))</f>
        <v>1</v>
      </c>
      <c r="E220" cm="1">
        <f t="array" aca="1" ref="E220" ca="1">INDIRECT(ADDRESS(myRAND(1,E$2,E$8:E$9)+5,E$1))</f>
        <v>0</v>
      </c>
      <c r="F220" cm="1">
        <f t="array" aca="1" ref="F220" ca="1">INDIRECT(ADDRESS(myRAND(1,F$2,F$8:F$9)+5,F$1))</f>
        <v>1</v>
      </c>
      <c r="G220" cm="1">
        <f t="array" aca="1" ref="G220" ca="1">INDIRECT(ADDRESS(myRAND(1,G$2,G$8:G$9)+5,G$1))</f>
        <v>1</v>
      </c>
      <c r="H220" cm="1">
        <f t="array" aca="1" ref="H220" ca="1">INDIRECT(ADDRESS(myRAND(1,H$2,H$8:H$9)+5,H$1))</f>
        <v>0</v>
      </c>
      <c r="I220" cm="1">
        <f t="array" aca="1" ref="I220" ca="1">INDIRECT(ADDRESS(myRAND(1,I$2,I$8:I$9)+5,I$1))</f>
        <v>0</v>
      </c>
      <c r="J220">
        <f t="shared" ca="1" si="33"/>
        <v>16</v>
      </c>
      <c r="K220">
        <f t="shared" ca="1" si="33"/>
        <v>216</v>
      </c>
      <c r="L220" s="3">
        <f t="shared" ca="1" si="35"/>
        <v>3</v>
      </c>
      <c r="M220" s="13">
        <f t="shared" ca="1" si="36"/>
        <v>0.3384968407970475</v>
      </c>
      <c r="N220">
        <f t="shared" ca="1" si="37"/>
        <v>-0.67000000000000037</v>
      </c>
      <c r="O220">
        <f t="shared" ca="1" si="38"/>
        <v>0</v>
      </c>
      <c r="P220">
        <f t="shared" ca="1" si="39"/>
        <v>1</v>
      </c>
      <c r="Q220">
        <f t="shared" ca="1" si="40"/>
        <v>0</v>
      </c>
      <c r="R220">
        <f t="shared" ca="1" si="41"/>
        <v>0</v>
      </c>
      <c r="S220">
        <f t="shared" ca="1" si="42"/>
        <v>1</v>
      </c>
      <c r="T220" s="17">
        <f t="shared" ca="1" si="43"/>
        <v>1.8690476190476191</v>
      </c>
    </row>
    <row r="221" spans="2:20" x14ac:dyDescent="0.3">
      <c r="B221">
        <f t="shared" ca="1" si="34"/>
        <v>64</v>
      </c>
      <c r="C221" cm="1">
        <f t="array" aca="1" ref="C221" ca="1">INDIRECT(ADDRESS(myRAND(1,C$2,C$8:C$9)+5,C$1))</f>
        <v>1</v>
      </c>
      <c r="D221" cm="1">
        <f t="array" aca="1" ref="D221" ca="1">INDIRECT(ADDRESS(myRAND(1,D$2,D$8:D$9)+5,D$1))</f>
        <v>1</v>
      </c>
      <c r="E221" cm="1">
        <f t="array" aca="1" ref="E221" ca="1">INDIRECT(ADDRESS(myRAND(1,E$2,E$8:E$9)+5,E$1))</f>
        <v>1</v>
      </c>
      <c r="F221" cm="1">
        <f t="array" aca="1" ref="F221" ca="1">INDIRECT(ADDRESS(myRAND(1,F$2,F$8:F$9)+5,F$1))</f>
        <v>1</v>
      </c>
      <c r="G221" cm="1">
        <f t="array" aca="1" ref="G221" ca="1">INDIRECT(ADDRESS(myRAND(1,G$2,G$8:G$9)+5,G$1))</f>
        <v>1</v>
      </c>
      <c r="H221" cm="1">
        <f t="array" aca="1" ref="H221" ca="1">INDIRECT(ADDRESS(myRAND(1,H$2,H$8:H$9)+5,H$1))</f>
        <v>0</v>
      </c>
      <c r="I221" cm="1">
        <f t="array" aca="1" ref="I221" ca="1">INDIRECT(ADDRESS(myRAND(1,I$2,I$8:I$9)+5,I$1))</f>
        <v>1</v>
      </c>
      <c r="J221">
        <f t="shared" ca="1" si="33"/>
        <v>14</v>
      </c>
      <c r="K221">
        <f t="shared" ca="1" si="33"/>
        <v>202</v>
      </c>
      <c r="L221" s="3">
        <f t="shared" ca="1" si="35"/>
        <v>3</v>
      </c>
      <c r="M221" s="13">
        <f t="shared" ca="1" si="36"/>
        <v>0.542397940774351</v>
      </c>
      <c r="N221">
        <f t="shared" ca="1" si="37"/>
        <v>0.17000000000000004</v>
      </c>
      <c r="O221">
        <f t="shared" ca="1" si="38"/>
        <v>1</v>
      </c>
      <c r="P221">
        <f t="shared" ca="1" si="39"/>
        <v>0</v>
      </c>
      <c r="Q221">
        <f t="shared" ca="1" si="40"/>
        <v>0</v>
      </c>
      <c r="R221">
        <f t="shared" ca="1" si="41"/>
        <v>0</v>
      </c>
      <c r="S221">
        <f t="shared" ca="1" si="42"/>
        <v>2</v>
      </c>
      <c r="T221" s="17">
        <f t="shared" ca="1" si="43"/>
        <v>5.8590476190476188</v>
      </c>
    </row>
    <row r="222" spans="2:20" x14ac:dyDescent="0.3">
      <c r="B222">
        <f t="shared" ca="1" si="34"/>
        <v>39</v>
      </c>
      <c r="C222" cm="1">
        <f t="array" aca="1" ref="C222" ca="1">INDIRECT(ADDRESS(myRAND(1,C$2,C$8:C$9)+5,C$1))</f>
        <v>0</v>
      </c>
      <c r="D222" cm="1">
        <f t="array" aca="1" ref="D222" ca="1">INDIRECT(ADDRESS(myRAND(1,D$2,D$8:D$9)+5,D$1))</f>
        <v>1</v>
      </c>
      <c r="E222" cm="1">
        <f t="array" aca="1" ref="E222" ca="1">INDIRECT(ADDRESS(myRAND(1,E$2,E$8:E$9)+5,E$1))</f>
        <v>0</v>
      </c>
      <c r="F222" cm="1">
        <f t="array" aca="1" ref="F222" ca="1">INDIRECT(ADDRESS(myRAND(1,F$2,F$8:F$9)+5,F$1))</f>
        <v>0</v>
      </c>
      <c r="G222" cm="1">
        <f t="array" aca="1" ref="G222" ca="1">INDIRECT(ADDRESS(myRAND(1,G$2,G$8:G$9)+5,G$1))</f>
        <v>0</v>
      </c>
      <c r="H222" cm="1">
        <f t="array" aca="1" ref="H222" ca="1">INDIRECT(ADDRESS(myRAND(1,H$2,H$8:H$9)+5,H$1))</f>
        <v>1</v>
      </c>
      <c r="I222" cm="1">
        <f t="array" aca="1" ref="I222" ca="1">INDIRECT(ADDRESS(myRAND(1,I$2,I$8:I$9)+5,I$1))</f>
        <v>0</v>
      </c>
      <c r="J222">
        <f t="shared" ca="1" si="33"/>
        <v>14</v>
      </c>
      <c r="K222">
        <f t="shared" ca="1" si="33"/>
        <v>217</v>
      </c>
      <c r="L222" s="3">
        <f t="shared" ca="1" si="35"/>
        <v>1</v>
      </c>
      <c r="M222" s="13">
        <f t="shared" ca="1" si="36"/>
        <v>5.6786180808788486E-2</v>
      </c>
      <c r="N222">
        <f t="shared" ca="1" si="37"/>
        <v>-2.81</v>
      </c>
      <c r="O222">
        <f t="shared" ca="1" si="38"/>
        <v>0</v>
      </c>
      <c r="P222">
        <f t="shared" ca="1" si="39"/>
        <v>0</v>
      </c>
      <c r="Q222">
        <f t="shared" ca="1" si="40"/>
        <v>1</v>
      </c>
      <c r="R222">
        <f t="shared" ca="1" si="41"/>
        <v>0</v>
      </c>
      <c r="S222">
        <f t="shared" ca="1" si="42"/>
        <v>1</v>
      </c>
      <c r="T222" s="17">
        <f t="shared" ca="1" si="43"/>
        <v>1.6804761904761905</v>
      </c>
    </row>
    <row r="223" spans="2:20" x14ac:dyDescent="0.3">
      <c r="B223">
        <f t="shared" ca="1" si="34"/>
        <v>39</v>
      </c>
      <c r="C223" cm="1">
        <f t="array" aca="1" ref="C223" ca="1">INDIRECT(ADDRESS(myRAND(1,C$2,C$8:C$9)+5,C$1))</f>
        <v>0</v>
      </c>
      <c r="D223" cm="1">
        <f t="array" aca="1" ref="D223" ca="1">INDIRECT(ADDRESS(myRAND(1,D$2,D$8:D$9)+5,D$1))</f>
        <v>1</v>
      </c>
      <c r="E223" cm="1">
        <f t="array" aca="1" ref="E223" ca="1">INDIRECT(ADDRESS(myRAND(1,E$2,E$8:E$9)+5,E$1))</f>
        <v>1</v>
      </c>
      <c r="F223" cm="1">
        <f t="array" aca="1" ref="F223" ca="1">INDIRECT(ADDRESS(myRAND(1,F$2,F$8:F$9)+5,F$1))</f>
        <v>1</v>
      </c>
      <c r="G223" cm="1">
        <f t="array" aca="1" ref="G223" ca="1">INDIRECT(ADDRESS(myRAND(1,G$2,G$8:G$9)+5,G$1))</f>
        <v>0</v>
      </c>
      <c r="H223" cm="1">
        <f t="array" aca="1" ref="H223" ca="1">INDIRECT(ADDRESS(myRAND(1,H$2,H$8:H$9)+5,H$1))</f>
        <v>0</v>
      </c>
      <c r="I223" cm="1">
        <f t="array" aca="1" ref="I223" ca="1">INDIRECT(ADDRESS(myRAND(1,I$2,I$8:I$9)+5,I$1))</f>
        <v>0</v>
      </c>
      <c r="J223">
        <f t="shared" ca="1" si="33"/>
        <v>10</v>
      </c>
      <c r="K223">
        <f t="shared" ca="1" si="33"/>
        <v>238</v>
      </c>
      <c r="L223" s="3">
        <f t="shared" ca="1" si="35"/>
        <v>1</v>
      </c>
      <c r="M223" s="13">
        <f t="shared" ca="1" si="36"/>
        <v>0.10247703344409737</v>
      </c>
      <c r="N223">
        <f t="shared" ca="1" si="37"/>
        <v>-2.17</v>
      </c>
      <c r="O223">
        <f t="shared" ca="1" si="38"/>
        <v>1</v>
      </c>
      <c r="P223">
        <f t="shared" ca="1" si="39"/>
        <v>0</v>
      </c>
      <c r="Q223">
        <f t="shared" ca="1" si="40"/>
        <v>0</v>
      </c>
      <c r="R223">
        <f t="shared" ca="1" si="41"/>
        <v>0</v>
      </c>
      <c r="S223">
        <f t="shared" ca="1" si="42"/>
        <v>0</v>
      </c>
      <c r="T223" s="17">
        <f t="shared" ca="1" si="43"/>
        <v>1.5138095238095239</v>
      </c>
    </row>
    <row r="224" spans="2:20" x14ac:dyDescent="0.3">
      <c r="B224">
        <f t="shared" ca="1" si="34"/>
        <v>75</v>
      </c>
      <c r="C224" cm="1">
        <f t="array" aca="1" ref="C224" ca="1">INDIRECT(ADDRESS(myRAND(1,C$2,C$8:C$9)+5,C$1))</f>
        <v>0</v>
      </c>
      <c r="D224" cm="1">
        <f t="array" aca="1" ref="D224" ca="1">INDIRECT(ADDRESS(myRAND(1,D$2,D$8:D$9)+5,D$1))</f>
        <v>0</v>
      </c>
      <c r="E224" cm="1">
        <f t="array" aca="1" ref="E224" ca="1">INDIRECT(ADDRESS(myRAND(1,E$2,E$8:E$9)+5,E$1))</f>
        <v>0</v>
      </c>
      <c r="F224" cm="1">
        <f t="array" aca="1" ref="F224" ca="1">INDIRECT(ADDRESS(myRAND(1,F$2,F$8:F$9)+5,F$1))</f>
        <v>1</v>
      </c>
      <c r="G224" cm="1">
        <f t="array" aca="1" ref="G224" ca="1">INDIRECT(ADDRESS(myRAND(1,G$2,G$8:G$9)+5,G$1))</f>
        <v>1</v>
      </c>
      <c r="H224" cm="1">
        <f t="array" aca="1" ref="H224" ca="1">INDIRECT(ADDRESS(myRAND(1,H$2,H$8:H$9)+5,H$1))</f>
        <v>0</v>
      </c>
      <c r="I224" cm="1">
        <f t="array" aca="1" ref="I224" ca="1">INDIRECT(ADDRESS(myRAND(1,I$2,I$8:I$9)+5,I$1))</f>
        <v>1</v>
      </c>
      <c r="J224">
        <f t="shared" ca="1" si="33"/>
        <v>10</v>
      </c>
      <c r="K224">
        <f t="shared" ca="1" si="33"/>
        <v>191</v>
      </c>
      <c r="L224" s="3">
        <f t="shared" ca="1" si="35"/>
        <v>2</v>
      </c>
      <c r="M224" s="13">
        <f t="shared" ca="1" si="36"/>
        <v>0.2026198464311304</v>
      </c>
      <c r="N224">
        <f t="shared" ca="1" si="37"/>
        <v>-1.37</v>
      </c>
      <c r="O224">
        <f t="shared" ca="1" si="38"/>
        <v>0</v>
      </c>
      <c r="P224">
        <f t="shared" ca="1" si="39"/>
        <v>0</v>
      </c>
      <c r="Q224">
        <f t="shared" ca="1" si="40"/>
        <v>1</v>
      </c>
      <c r="R224">
        <f t="shared" ca="1" si="41"/>
        <v>0</v>
      </c>
      <c r="S224">
        <f t="shared" ca="1" si="42"/>
        <v>2</v>
      </c>
      <c r="T224" s="17">
        <f t="shared" ca="1" si="43"/>
        <v>4.6500000000000004</v>
      </c>
    </row>
    <row r="225" spans="2:20" x14ac:dyDescent="0.3">
      <c r="B225">
        <f t="shared" ca="1" si="34"/>
        <v>58</v>
      </c>
      <c r="C225" cm="1">
        <f t="array" aca="1" ref="C225" ca="1">INDIRECT(ADDRESS(myRAND(1,C$2,C$8:C$9)+5,C$1))</f>
        <v>0</v>
      </c>
      <c r="D225" cm="1">
        <f t="array" aca="1" ref="D225" ca="1">INDIRECT(ADDRESS(myRAND(1,D$2,D$8:D$9)+5,D$1))</f>
        <v>0</v>
      </c>
      <c r="E225" cm="1">
        <f t="array" aca="1" ref="E225" ca="1">INDIRECT(ADDRESS(myRAND(1,E$2,E$8:E$9)+5,E$1))</f>
        <v>1</v>
      </c>
      <c r="F225" cm="1">
        <f t="array" aca="1" ref="F225" ca="1">INDIRECT(ADDRESS(myRAND(1,F$2,F$8:F$9)+5,F$1))</f>
        <v>1</v>
      </c>
      <c r="G225" cm="1">
        <f t="array" aca="1" ref="G225" ca="1">INDIRECT(ADDRESS(myRAND(1,G$2,G$8:G$9)+5,G$1))</f>
        <v>1</v>
      </c>
      <c r="H225" cm="1">
        <f t="array" aca="1" ref="H225" ca="1">INDIRECT(ADDRESS(myRAND(1,H$2,H$8:H$9)+5,H$1))</f>
        <v>1</v>
      </c>
      <c r="I225" cm="1">
        <f t="array" aca="1" ref="I225" ca="1">INDIRECT(ADDRESS(myRAND(1,I$2,I$8:I$9)+5,I$1))</f>
        <v>1</v>
      </c>
      <c r="J225">
        <f t="shared" ca="1" si="33"/>
        <v>10</v>
      </c>
      <c r="K225">
        <f t="shared" ca="1" si="33"/>
        <v>246</v>
      </c>
      <c r="L225" s="3">
        <f t="shared" ca="1" si="35"/>
        <v>2</v>
      </c>
      <c r="M225" s="13">
        <f t="shared" ca="1" si="36"/>
        <v>0.46257015465625034</v>
      </c>
      <c r="N225">
        <f t="shared" ca="1" si="37"/>
        <v>-0.15000000000000036</v>
      </c>
      <c r="O225">
        <f t="shared" ca="1" si="38"/>
        <v>0</v>
      </c>
      <c r="P225">
        <f t="shared" ca="1" si="39"/>
        <v>1</v>
      </c>
      <c r="Q225">
        <f t="shared" ca="1" si="40"/>
        <v>0</v>
      </c>
      <c r="R225">
        <f t="shared" ca="1" si="41"/>
        <v>0</v>
      </c>
      <c r="S225">
        <f t="shared" ca="1" si="42"/>
        <v>3</v>
      </c>
      <c r="T225" s="17">
        <f t="shared" ca="1" si="43"/>
        <v>4.7419047619047614</v>
      </c>
    </row>
    <row r="226" spans="2:20" x14ac:dyDescent="0.3">
      <c r="B226">
        <f t="shared" ca="1" si="34"/>
        <v>41</v>
      </c>
      <c r="C226" cm="1">
        <f t="array" aca="1" ref="C226" ca="1">INDIRECT(ADDRESS(myRAND(1,C$2,C$8:C$9)+5,C$1))</f>
        <v>0</v>
      </c>
      <c r="D226" cm="1">
        <f t="array" aca="1" ref="D226" ca="1">INDIRECT(ADDRESS(myRAND(1,D$2,D$8:D$9)+5,D$1))</f>
        <v>1</v>
      </c>
      <c r="E226" cm="1">
        <f t="array" aca="1" ref="E226" ca="1">INDIRECT(ADDRESS(myRAND(1,E$2,E$8:E$9)+5,E$1))</f>
        <v>1</v>
      </c>
      <c r="F226" cm="1">
        <f t="array" aca="1" ref="F226" ca="1">INDIRECT(ADDRESS(myRAND(1,F$2,F$8:F$9)+5,F$1))</f>
        <v>1</v>
      </c>
      <c r="G226" cm="1">
        <f t="array" aca="1" ref="G226" ca="1">INDIRECT(ADDRESS(myRAND(1,G$2,G$8:G$9)+5,G$1))</f>
        <v>1</v>
      </c>
      <c r="H226" cm="1">
        <f t="array" aca="1" ref="H226" ca="1">INDIRECT(ADDRESS(myRAND(1,H$2,H$8:H$9)+5,H$1))</f>
        <v>0</v>
      </c>
      <c r="I226" cm="1">
        <f t="array" aca="1" ref="I226" ca="1">INDIRECT(ADDRESS(myRAND(1,I$2,I$8:I$9)+5,I$1))</f>
        <v>1</v>
      </c>
      <c r="J226">
        <f t="shared" ca="1" si="33"/>
        <v>16</v>
      </c>
      <c r="K226">
        <f t="shared" ca="1" si="33"/>
        <v>230</v>
      </c>
      <c r="L226" s="3">
        <f t="shared" ca="1" si="35"/>
        <v>1</v>
      </c>
      <c r="M226" s="13">
        <f t="shared" ca="1" si="36"/>
        <v>0.11007257436250302</v>
      </c>
      <c r="N226">
        <f t="shared" ca="1" si="37"/>
        <v>-2.09</v>
      </c>
      <c r="O226">
        <f t="shared" ca="1" si="38"/>
        <v>1</v>
      </c>
      <c r="P226">
        <f t="shared" ca="1" si="39"/>
        <v>0</v>
      </c>
      <c r="Q226">
        <f t="shared" ca="1" si="40"/>
        <v>0</v>
      </c>
      <c r="R226">
        <f t="shared" ca="1" si="41"/>
        <v>0</v>
      </c>
      <c r="S226">
        <f t="shared" ca="1" si="42"/>
        <v>2</v>
      </c>
      <c r="T226" s="17">
        <f t="shared" ca="1" si="43"/>
        <v>4.8957142857142859</v>
      </c>
    </row>
    <row r="227" spans="2:20" x14ac:dyDescent="0.3">
      <c r="B227">
        <f t="shared" ca="1" si="34"/>
        <v>51</v>
      </c>
      <c r="C227" cm="1">
        <f t="array" aca="1" ref="C227" ca="1">INDIRECT(ADDRESS(myRAND(1,C$2,C$8:C$9)+5,C$1))</f>
        <v>0</v>
      </c>
      <c r="D227" cm="1">
        <f t="array" aca="1" ref="D227" ca="1">INDIRECT(ADDRESS(myRAND(1,D$2,D$8:D$9)+5,D$1))</f>
        <v>0</v>
      </c>
      <c r="E227" cm="1">
        <f t="array" aca="1" ref="E227" ca="1">INDIRECT(ADDRESS(myRAND(1,E$2,E$8:E$9)+5,E$1))</f>
        <v>0</v>
      </c>
      <c r="F227" cm="1">
        <f t="array" aca="1" ref="F227" ca="1">INDIRECT(ADDRESS(myRAND(1,F$2,F$8:F$9)+5,F$1))</f>
        <v>1</v>
      </c>
      <c r="G227" cm="1">
        <f t="array" aca="1" ref="G227" ca="1">INDIRECT(ADDRESS(myRAND(1,G$2,G$8:G$9)+5,G$1))</f>
        <v>1</v>
      </c>
      <c r="H227" cm="1">
        <f t="array" aca="1" ref="H227" ca="1">INDIRECT(ADDRESS(myRAND(1,H$2,H$8:H$9)+5,H$1))</f>
        <v>1</v>
      </c>
      <c r="I227" cm="1">
        <f t="array" aca="1" ref="I227" ca="1">INDIRECT(ADDRESS(myRAND(1,I$2,I$8:I$9)+5,I$1))</f>
        <v>0</v>
      </c>
      <c r="J227">
        <f t="shared" ca="1" si="33"/>
        <v>20</v>
      </c>
      <c r="K227">
        <f t="shared" ca="1" si="33"/>
        <v>208</v>
      </c>
      <c r="L227" s="3">
        <f t="shared" ca="1" si="35"/>
        <v>1</v>
      </c>
      <c r="M227" s="13">
        <f t="shared" ca="1" si="36"/>
        <v>8.8668663254733285E-2</v>
      </c>
      <c r="N227">
        <f t="shared" ca="1" si="37"/>
        <v>-2.33</v>
      </c>
      <c r="O227">
        <f t="shared" ca="1" si="38"/>
        <v>0</v>
      </c>
      <c r="P227">
        <f t="shared" ca="1" si="39"/>
        <v>0</v>
      </c>
      <c r="Q227">
        <f t="shared" ca="1" si="40"/>
        <v>1</v>
      </c>
      <c r="R227">
        <f t="shared" ca="1" si="41"/>
        <v>0</v>
      </c>
      <c r="S227">
        <f t="shared" ca="1" si="42"/>
        <v>2</v>
      </c>
      <c r="T227" s="17">
        <f t="shared" ca="1" si="43"/>
        <v>2.1576190476190478</v>
      </c>
    </row>
    <row r="228" spans="2:20" x14ac:dyDescent="0.3">
      <c r="B228">
        <f t="shared" ca="1" si="34"/>
        <v>44</v>
      </c>
      <c r="C228" cm="1">
        <f t="array" aca="1" ref="C228" ca="1">INDIRECT(ADDRESS(myRAND(1,C$2,C$8:C$9)+5,C$1))</f>
        <v>0</v>
      </c>
      <c r="D228" cm="1">
        <f t="array" aca="1" ref="D228" ca="1">INDIRECT(ADDRESS(myRAND(1,D$2,D$8:D$9)+5,D$1))</f>
        <v>1</v>
      </c>
      <c r="E228" cm="1">
        <f t="array" aca="1" ref="E228" ca="1">INDIRECT(ADDRESS(myRAND(1,E$2,E$8:E$9)+5,E$1))</f>
        <v>1</v>
      </c>
      <c r="F228" cm="1">
        <f t="array" aca="1" ref="F228" ca="1">INDIRECT(ADDRESS(myRAND(1,F$2,F$8:F$9)+5,F$1))</f>
        <v>1</v>
      </c>
      <c r="G228" cm="1">
        <f t="array" aca="1" ref="G228" ca="1">INDIRECT(ADDRESS(myRAND(1,G$2,G$8:G$9)+5,G$1))</f>
        <v>1</v>
      </c>
      <c r="H228" cm="1">
        <f t="array" aca="1" ref="H228" ca="1">INDIRECT(ADDRESS(myRAND(1,H$2,H$8:H$9)+5,H$1))</f>
        <v>0</v>
      </c>
      <c r="I228" cm="1">
        <f t="array" aca="1" ref="I228" ca="1">INDIRECT(ADDRESS(myRAND(1,I$2,I$8:I$9)+5,I$1))</f>
        <v>1</v>
      </c>
      <c r="J228">
        <f t="shared" ca="1" si="33"/>
        <v>13</v>
      </c>
      <c r="K228">
        <f t="shared" ca="1" si="33"/>
        <v>201</v>
      </c>
      <c r="L228" s="3">
        <f t="shared" ca="1" si="35"/>
        <v>1</v>
      </c>
      <c r="M228" s="13">
        <f t="shared" ca="1" si="36"/>
        <v>0.12238888682304884</v>
      </c>
      <c r="N228">
        <f t="shared" ca="1" si="37"/>
        <v>-1.9700000000000002</v>
      </c>
      <c r="O228">
        <f t="shared" ca="1" si="38"/>
        <v>1</v>
      </c>
      <c r="P228">
        <f t="shared" ca="1" si="39"/>
        <v>0</v>
      </c>
      <c r="Q228">
        <f t="shared" ca="1" si="40"/>
        <v>0</v>
      </c>
      <c r="R228">
        <f t="shared" ca="1" si="41"/>
        <v>0</v>
      </c>
      <c r="S228">
        <f t="shared" ca="1" si="42"/>
        <v>2</v>
      </c>
      <c r="T228" s="17">
        <f t="shared" ca="1" si="43"/>
        <v>4.5876190476190475</v>
      </c>
    </row>
    <row r="229" spans="2:20" x14ac:dyDescent="0.3">
      <c r="B229">
        <f t="shared" ca="1" si="34"/>
        <v>46</v>
      </c>
      <c r="C229" cm="1">
        <f t="array" aca="1" ref="C229" ca="1">INDIRECT(ADDRESS(myRAND(1,C$2,C$8:C$9)+5,C$1))</f>
        <v>1</v>
      </c>
      <c r="D229" cm="1">
        <f t="array" aca="1" ref="D229" ca="1">INDIRECT(ADDRESS(myRAND(1,D$2,D$8:D$9)+5,D$1))</f>
        <v>0</v>
      </c>
      <c r="E229" cm="1">
        <f t="array" aca="1" ref="E229" ca="1">INDIRECT(ADDRESS(myRAND(1,E$2,E$8:E$9)+5,E$1))</f>
        <v>0</v>
      </c>
      <c r="F229" cm="1">
        <f t="array" aca="1" ref="F229" ca="1">INDIRECT(ADDRESS(myRAND(1,F$2,F$8:F$9)+5,F$1))</f>
        <v>1</v>
      </c>
      <c r="G229" cm="1">
        <f t="array" aca="1" ref="G229" ca="1">INDIRECT(ADDRESS(myRAND(1,G$2,G$8:G$9)+5,G$1))</f>
        <v>1</v>
      </c>
      <c r="H229" cm="1">
        <f t="array" aca="1" ref="H229" ca="1">INDIRECT(ADDRESS(myRAND(1,H$2,H$8:H$9)+5,H$1))</f>
        <v>0</v>
      </c>
      <c r="I229" cm="1">
        <f t="array" aca="1" ref="I229" ca="1">INDIRECT(ADDRESS(myRAND(1,I$2,I$8:I$9)+5,I$1))</f>
        <v>1</v>
      </c>
      <c r="J229">
        <f t="shared" ca="1" si="33"/>
        <v>20</v>
      </c>
      <c r="K229">
        <f t="shared" ca="1" si="33"/>
        <v>182</v>
      </c>
      <c r="L229" s="3">
        <f t="shared" ca="1" si="35"/>
        <v>2</v>
      </c>
      <c r="M229" s="13">
        <f t="shared" ca="1" si="36"/>
        <v>0.23325893577145715</v>
      </c>
      <c r="N229">
        <f t="shared" ca="1" si="37"/>
        <v>-1.1900000000000002</v>
      </c>
      <c r="O229">
        <f t="shared" ca="1" si="38"/>
        <v>0</v>
      </c>
      <c r="P229">
        <f t="shared" ca="1" si="39"/>
        <v>0</v>
      </c>
      <c r="Q229">
        <f t="shared" ca="1" si="40"/>
        <v>1</v>
      </c>
      <c r="R229">
        <f t="shared" ca="1" si="41"/>
        <v>0</v>
      </c>
      <c r="S229">
        <f t="shared" ca="1" si="42"/>
        <v>2</v>
      </c>
      <c r="T229" s="17">
        <f t="shared" ca="1" si="43"/>
        <v>5.9838095238095237</v>
      </c>
    </row>
    <row r="230" spans="2:20" x14ac:dyDescent="0.3">
      <c r="B230">
        <f t="shared" ca="1" si="34"/>
        <v>41</v>
      </c>
      <c r="C230" cm="1">
        <f t="array" aca="1" ref="C230" ca="1">INDIRECT(ADDRESS(myRAND(1,C$2,C$8:C$9)+5,C$1))</f>
        <v>1</v>
      </c>
      <c r="D230" cm="1">
        <f t="array" aca="1" ref="D230" ca="1">INDIRECT(ADDRESS(myRAND(1,D$2,D$8:D$9)+5,D$1))</f>
        <v>0</v>
      </c>
      <c r="E230" cm="1">
        <f t="array" aca="1" ref="E230" ca="1">INDIRECT(ADDRESS(myRAND(1,E$2,E$8:E$9)+5,E$1))</f>
        <v>0</v>
      </c>
      <c r="F230" cm="1">
        <f t="array" aca="1" ref="F230" ca="1">INDIRECT(ADDRESS(myRAND(1,F$2,F$8:F$9)+5,F$1))</f>
        <v>0</v>
      </c>
      <c r="G230" cm="1">
        <f t="array" aca="1" ref="G230" ca="1">INDIRECT(ADDRESS(myRAND(1,G$2,G$8:G$9)+5,G$1))</f>
        <v>0</v>
      </c>
      <c r="H230" cm="1">
        <f t="array" aca="1" ref="H230" ca="1">INDIRECT(ADDRESS(myRAND(1,H$2,H$8:H$9)+5,H$1))</f>
        <v>1</v>
      </c>
      <c r="I230" cm="1">
        <f t="array" aca="1" ref="I230" ca="1">INDIRECT(ADDRESS(myRAND(1,I$2,I$8:I$9)+5,I$1))</f>
        <v>0</v>
      </c>
      <c r="J230">
        <f t="shared" ca="1" si="33"/>
        <v>10</v>
      </c>
      <c r="K230">
        <f t="shared" ca="1" si="33"/>
        <v>191</v>
      </c>
      <c r="L230" s="3">
        <f t="shared" ca="1" si="35"/>
        <v>3</v>
      </c>
      <c r="M230" s="13">
        <f t="shared" ca="1" si="36"/>
        <v>0.19940775684866852</v>
      </c>
      <c r="N230">
        <f t="shared" ca="1" si="37"/>
        <v>-1.39</v>
      </c>
      <c r="O230">
        <f t="shared" ca="1" si="38"/>
        <v>0</v>
      </c>
      <c r="P230">
        <f t="shared" ca="1" si="39"/>
        <v>0</v>
      </c>
      <c r="Q230">
        <f t="shared" ca="1" si="40"/>
        <v>0</v>
      </c>
      <c r="R230">
        <f t="shared" ca="1" si="41"/>
        <v>1</v>
      </c>
      <c r="S230">
        <f t="shared" ca="1" si="42"/>
        <v>1</v>
      </c>
      <c r="T230" s="17">
        <f t="shared" ca="1" si="43"/>
        <v>2.31</v>
      </c>
    </row>
    <row r="231" spans="2:20" x14ac:dyDescent="0.3">
      <c r="B231">
        <f t="shared" ca="1" si="34"/>
        <v>60</v>
      </c>
      <c r="C231" cm="1">
        <f t="array" aca="1" ref="C231" ca="1">INDIRECT(ADDRESS(myRAND(1,C$2,C$8:C$9)+5,C$1))</f>
        <v>1</v>
      </c>
      <c r="D231" cm="1">
        <f t="array" aca="1" ref="D231" ca="1">INDIRECT(ADDRESS(myRAND(1,D$2,D$8:D$9)+5,D$1))</f>
        <v>0</v>
      </c>
      <c r="E231" cm="1">
        <f t="array" aca="1" ref="E231" ca="1">INDIRECT(ADDRESS(myRAND(1,E$2,E$8:E$9)+5,E$1))</f>
        <v>1</v>
      </c>
      <c r="F231" cm="1">
        <f t="array" aca="1" ref="F231" ca="1">INDIRECT(ADDRESS(myRAND(1,F$2,F$8:F$9)+5,F$1))</f>
        <v>0</v>
      </c>
      <c r="G231" cm="1">
        <f t="array" aca="1" ref="G231" ca="1">INDIRECT(ADDRESS(myRAND(1,G$2,G$8:G$9)+5,G$1))</f>
        <v>1</v>
      </c>
      <c r="H231" cm="1">
        <f t="array" aca="1" ref="H231" ca="1">INDIRECT(ADDRESS(myRAND(1,H$2,H$8:H$9)+5,H$1))</f>
        <v>0</v>
      </c>
      <c r="I231" cm="1">
        <f t="array" aca="1" ref="I231" ca="1">INDIRECT(ADDRESS(myRAND(1,I$2,I$8:I$9)+5,I$1))</f>
        <v>0</v>
      </c>
      <c r="J231">
        <f t="shared" ca="1" si="33"/>
        <v>18</v>
      </c>
      <c r="K231">
        <f t="shared" ca="1" si="33"/>
        <v>237</v>
      </c>
      <c r="L231" s="3">
        <f t="shared" ca="1" si="35"/>
        <v>3</v>
      </c>
      <c r="M231" s="13">
        <f t="shared" ca="1" si="36"/>
        <v>0.34751053780725549</v>
      </c>
      <c r="N231">
        <f t="shared" ca="1" si="37"/>
        <v>-0.63000000000000012</v>
      </c>
      <c r="O231">
        <f t="shared" ca="1" si="38"/>
        <v>0</v>
      </c>
      <c r="P231">
        <f t="shared" ca="1" si="39"/>
        <v>0</v>
      </c>
      <c r="Q231">
        <f t="shared" ca="1" si="40"/>
        <v>1</v>
      </c>
      <c r="R231">
        <f t="shared" ca="1" si="41"/>
        <v>0</v>
      </c>
      <c r="S231">
        <f t="shared" ca="1" si="42"/>
        <v>1</v>
      </c>
      <c r="T231" s="17">
        <f t="shared" ca="1" si="43"/>
        <v>3.2523809523809524</v>
      </c>
    </row>
    <row r="232" spans="2:20" x14ac:dyDescent="0.3">
      <c r="B232">
        <f t="shared" ca="1" si="34"/>
        <v>45</v>
      </c>
      <c r="C232" cm="1">
        <f t="array" aca="1" ref="C232" ca="1">INDIRECT(ADDRESS(myRAND(1,C$2,C$8:C$9)+5,C$1))</f>
        <v>0</v>
      </c>
      <c r="D232" cm="1">
        <f t="array" aca="1" ref="D232" ca="1">INDIRECT(ADDRESS(myRAND(1,D$2,D$8:D$9)+5,D$1))</f>
        <v>1</v>
      </c>
      <c r="E232" cm="1">
        <f t="array" aca="1" ref="E232" ca="1">INDIRECT(ADDRESS(myRAND(1,E$2,E$8:E$9)+5,E$1))</f>
        <v>0</v>
      </c>
      <c r="F232" cm="1">
        <f t="array" aca="1" ref="F232" ca="1">INDIRECT(ADDRESS(myRAND(1,F$2,F$8:F$9)+5,F$1))</f>
        <v>0</v>
      </c>
      <c r="G232" cm="1">
        <f t="array" aca="1" ref="G232" ca="1">INDIRECT(ADDRESS(myRAND(1,G$2,G$8:G$9)+5,G$1))</f>
        <v>0</v>
      </c>
      <c r="H232" cm="1">
        <f t="array" aca="1" ref="H232" ca="1">INDIRECT(ADDRESS(myRAND(1,H$2,H$8:H$9)+5,H$1))</f>
        <v>0</v>
      </c>
      <c r="I232" cm="1">
        <f t="array" aca="1" ref="I232" ca="1">INDIRECT(ADDRESS(myRAND(1,I$2,I$8:I$9)+5,I$1))</f>
        <v>1</v>
      </c>
      <c r="J232">
        <f t="shared" ca="1" si="33"/>
        <v>14</v>
      </c>
      <c r="K232">
        <f t="shared" ca="1" si="33"/>
        <v>201</v>
      </c>
      <c r="L232" s="3">
        <f t="shared" ca="1" si="35"/>
        <v>1</v>
      </c>
      <c r="M232" s="13">
        <f t="shared" ca="1" si="36"/>
        <v>7.1094304084287144E-2</v>
      </c>
      <c r="N232">
        <f t="shared" ca="1" si="37"/>
        <v>-2.5700000000000003</v>
      </c>
      <c r="O232">
        <f t="shared" ca="1" si="38"/>
        <v>0</v>
      </c>
      <c r="P232">
        <f t="shared" ca="1" si="39"/>
        <v>0</v>
      </c>
      <c r="Q232">
        <f t="shared" ca="1" si="40"/>
        <v>1</v>
      </c>
      <c r="R232">
        <f t="shared" ca="1" si="41"/>
        <v>0</v>
      </c>
      <c r="S232">
        <f t="shared" ca="1" si="42"/>
        <v>1</v>
      </c>
      <c r="T232" s="17">
        <f t="shared" ca="1" si="43"/>
        <v>4.6642857142857146</v>
      </c>
    </row>
    <row r="233" spans="2:20" x14ac:dyDescent="0.3">
      <c r="B233">
        <f t="shared" ca="1" si="34"/>
        <v>46</v>
      </c>
      <c r="C233" cm="1">
        <f t="array" aca="1" ref="C233" ca="1">INDIRECT(ADDRESS(myRAND(1,C$2,C$8:C$9)+5,C$1))</f>
        <v>1</v>
      </c>
      <c r="D233" cm="1">
        <f t="array" aca="1" ref="D233" ca="1">INDIRECT(ADDRESS(myRAND(1,D$2,D$8:D$9)+5,D$1))</f>
        <v>1</v>
      </c>
      <c r="E233" cm="1">
        <f t="array" aca="1" ref="E233" ca="1">INDIRECT(ADDRESS(myRAND(1,E$2,E$8:E$9)+5,E$1))</f>
        <v>1</v>
      </c>
      <c r="F233" cm="1">
        <f t="array" aca="1" ref="F233" ca="1">INDIRECT(ADDRESS(myRAND(1,F$2,F$8:F$9)+5,F$1))</f>
        <v>0</v>
      </c>
      <c r="G233" cm="1">
        <f t="array" aca="1" ref="G233" ca="1">INDIRECT(ADDRESS(myRAND(1,G$2,G$8:G$9)+5,G$1))</f>
        <v>0</v>
      </c>
      <c r="H233" cm="1">
        <f t="array" aca="1" ref="H233" ca="1">INDIRECT(ADDRESS(myRAND(1,H$2,H$8:H$9)+5,H$1))</f>
        <v>0</v>
      </c>
      <c r="I233" cm="1">
        <f t="array" aca="1" ref="I233" ca="1">INDIRECT(ADDRESS(myRAND(1,I$2,I$8:I$9)+5,I$1))</f>
        <v>1</v>
      </c>
      <c r="J233">
        <f t="shared" ca="1" si="33"/>
        <v>12</v>
      </c>
      <c r="K233">
        <f t="shared" ca="1" si="33"/>
        <v>201</v>
      </c>
      <c r="L233" s="3">
        <f t="shared" ca="1" si="35"/>
        <v>3</v>
      </c>
      <c r="M233" s="13">
        <f t="shared" ca="1" si="36"/>
        <v>0.6704011598088685</v>
      </c>
      <c r="N233">
        <f t="shared" ca="1" si="37"/>
        <v>0.70999999999999974</v>
      </c>
      <c r="O233">
        <f t="shared" ca="1" si="38"/>
        <v>0</v>
      </c>
      <c r="P233">
        <f t="shared" ca="1" si="39"/>
        <v>1</v>
      </c>
      <c r="Q233">
        <f t="shared" ca="1" si="40"/>
        <v>0</v>
      </c>
      <c r="R233">
        <f t="shared" ca="1" si="41"/>
        <v>0</v>
      </c>
      <c r="S233">
        <f t="shared" ca="1" si="42"/>
        <v>1</v>
      </c>
      <c r="T233" s="17">
        <f t="shared" ca="1" si="43"/>
        <v>5.5409523809523815</v>
      </c>
    </row>
    <row r="234" spans="2:20" x14ac:dyDescent="0.3">
      <c r="B234">
        <f t="shared" ca="1" si="34"/>
        <v>56</v>
      </c>
      <c r="C234" cm="1">
        <f t="array" aca="1" ref="C234" ca="1">INDIRECT(ADDRESS(myRAND(1,C$2,C$8:C$9)+5,C$1))</f>
        <v>1</v>
      </c>
      <c r="D234" cm="1">
        <f t="array" aca="1" ref="D234" ca="1">INDIRECT(ADDRESS(myRAND(1,D$2,D$8:D$9)+5,D$1))</f>
        <v>1</v>
      </c>
      <c r="E234" cm="1">
        <f t="array" aca="1" ref="E234" ca="1">INDIRECT(ADDRESS(myRAND(1,E$2,E$8:E$9)+5,E$1))</f>
        <v>1</v>
      </c>
      <c r="F234" cm="1">
        <f t="array" aca="1" ref="F234" ca="1">INDIRECT(ADDRESS(myRAND(1,F$2,F$8:F$9)+5,F$1))</f>
        <v>1</v>
      </c>
      <c r="G234" cm="1">
        <f t="array" aca="1" ref="G234" ca="1">INDIRECT(ADDRESS(myRAND(1,G$2,G$8:G$9)+5,G$1))</f>
        <v>0</v>
      </c>
      <c r="H234" cm="1">
        <f t="array" aca="1" ref="H234" ca="1">INDIRECT(ADDRESS(myRAND(1,H$2,H$8:H$9)+5,H$1))</f>
        <v>0</v>
      </c>
      <c r="I234" cm="1">
        <f t="array" aca="1" ref="I234" ca="1">INDIRECT(ADDRESS(myRAND(1,I$2,I$8:I$9)+5,I$1))</f>
        <v>1</v>
      </c>
      <c r="J234">
        <f t="shared" ca="1" si="33"/>
        <v>17</v>
      </c>
      <c r="K234">
        <f t="shared" ca="1" si="33"/>
        <v>206</v>
      </c>
      <c r="L234" s="3">
        <f t="shared" ca="1" si="35"/>
        <v>3</v>
      </c>
      <c r="M234" s="13">
        <f t="shared" ca="1" si="36"/>
        <v>0.46257015465625057</v>
      </c>
      <c r="N234">
        <f t="shared" ca="1" si="37"/>
        <v>-0.1499999999999998</v>
      </c>
      <c r="O234">
        <f t="shared" ca="1" si="38"/>
        <v>1</v>
      </c>
      <c r="P234">
        <f t="shared" ca="1" si="39"/>
        <v>0</v>
      </c>
      <c r="Q234">
        <f t="shared" ca="1" si="40"/>
        <v>0</v>
      </c>
      <c r="R234">
        <f t="shared" ca="1" si="41"/>
        <v>0</v>
      </c>
      <c r="S234">
        <f t="shared" ca="1" si="42"/>
        <v>1</v>
      </c>
      <c r="T234" s="17">
        <f t="shared" ca="1" si="43"/>
        <v>5.9980952380952379</v>
      </c>
    </row>
    <row r="235" spans="2:20" x14ac:dyDescent="0.3">
      <c r="B235">
        <f t="shared" ca="1" si="34"/>
        <v>39</v>
      </c>
      <c r="C235" cm="1">
        <f t="array" aca="1" ref="C235" ca="1">INDIRECT(ADDRESS(myRAND(1,C$2,C$8:C$9)+5,C$1))</f>
        <v>0</v>
      </c>
      <c r="D235" cm="1">
        <f t="array" aca="1" ref="D235" ca="1">INDIRECT(ADDRESS(myRAND(1,D$2,D$8:D$9)+5,D$1))</f>
        <v>1</v>
      </c>
      <c r="E235" cm="1">
        <f t="array" aca="1" ref="E235" ca="1">INDIRECT(ADDRESS(myRAND(1,E$2,E$8:E$9)+5,E$1))</f>
        <v>0</v>
      </c>
      <c r="F235" cm="1">
        <f t="array" aca="1" ref="F235" ca="1">INDIRECT(ADDRESS(myRAND(1,F$2,F$8:F$9)+5,F$1))</f>
        <v>1</v>
      </c>
      <c r="G235" cm="1">
        <f t="array" aca="1" ref="G235" ca="1">INDIRECT(ADDRESS(myRAND(1,G$2,G$8:G$9)+5,G$1))</f>
        <v>0</v>
      </c>
      <c r="H235" cm="1">
        <f t="array" aca="1" ref="H235" ca="1">INDIRECT(ADDRESS(myRAND(1,H$2,H$8:H$9)+5,H$1))</f>
        <v>0</v>
      </c>
      <c r="I235" cm="1">
        <f t="array" aca="1" ref="I235" ca="1">INDIRECT(ADDRESS(myRAND(1,I$2,I$8:I$9)+5,I$1))</f>
        <v>1</v>
      </c>
      <c r="J235">
        <f t="shared" ca="1" si="33"/>
        <v>20</v>
      </c>
      <c r="K235">
        <f t="shared" ca="1" si="33"/>
        <v>246</v>
      </c>
      <c r="L235" s="3">
        <f t="shared" ca="1" si="35"/>
        <v>2</v>
      </c>
      <c r="M235" s="13">
        <f t="shared" ca="1" si="36"/>
        <v>0.28699983724771833</v>
      </c>
      <c r="N235">
        <f t="shared" ca="1" si="37"/>
        <v>-0.91000000000000014</v>
      </c>
      <c r="O235">
        <f t="shared" ca="1" si="38"/>
        <v>0</v>
      </c>
      <c r="P235">
        <f t="shared" ca="1" si="39"/>
        <v>1</v>
      </c>
      <c r="Q235">
        <f t="shared" ca="1" si="40"/>
        <v>0</v>
      </c>
      <c r="R235">
        <f t="shared" ca="1" si="41"/>
        <v>0</v>
      </c>
      <c r="S235">
        <f t="shared" ca="1" si="42"/>
        <v>1</v>
      </c>
      <c r="T235" s="17">
        <f t="shared" ca="1" si="43"/>
        <v>5.218571428571428</v>
      </c>
    </row>
    <row r="236" spans="2:20" x14ac:dyDescent="0.3">
      <c r="B236">
        <f t="shared" ca="1" si="34"/>
        <v>66</v>
      </c>
      <c r="C236" cm="1">
        <f t="array" aca="1" ref="C236" ca="1">INDIRECT(ADDRESS(myRAND(1,C$2,C$8:C$9)+5,C$1))</f>
        <v>1</v>
      </c>
      <c r="D236" cm="1">
        <f t="array" aca="1" ref="D236" ca="1">INDIRECT(ADDRESS(myRAND(1,D$2,D$8:D$9)+5,D$1))</f>
        <v>0</v>
      </c>
      <c r="E236" cm="1">
        <f t="array" aca="1" ref="E236" ca="1">INDIRECT(ADDRESS(myRAND(1,E$2,E$8:E$9)+5,E$1))</f>
        <v>0</v>
      </c>
      <c r="F236" cm="1">
        <f t="array" aca="1" ref="F236" ca="1">INDIRECT(ADDRESS(myRAND(1,F$2,F$8:F$9)+5,F$1))</f>
        <v>1</v>
      </c>
      <c r="G236" cm="1">
        <f t="array" aca="1" ref="G236" ca="1">INDIRECT(ADDRESS(myRAND(1,G$2,G$8:G$9)+5,G$1))</f>
        <v>0</v>
      </c>
      <c r="H236" cm="1">
        <f t="array" aca="1" ref="H236" ca="1">INDIRECT(ADDRESS(myRAND(1,H$2,H$8:H$9)+5,H$1))</f>
        <v>1</v>
      </c>
      <c r="I236" cm="1">
        <f t="array" aca="1" ref="I236" ca="1">INDIRECT(ADDRESS(myRAND(1,I$2,I$8:I$9)+5,I$1))</f>
        <v>0</v>
      </c>
      <c r="J236">
        <f t="shared" ca="1" si="33"/>
        <v>20</v>
      </c>
      <c r="K236">
        <f t="shared" ca="1" si="33"/>
        <v>201</v>
      </c>
      <c r="L236" s="3">
        <f t="shared" ca="1" si="35"/>
        <v>3</v>
      </c>
      <c r="M236" s="13">
        <f t="shared" ca="1" si="36"/>
        <v>0.40371730070321216</v>
      </c>
      <c r="N236">
        <f t="shared" ca="1" si="37"/>
        <v>-0.3899999999999999</v>
      </c>
      <c r="O236">
        <f t="shared" ca="1" si="38"/>
        <v>0</v>
      </c>
      <c r="P236">
        <f t="shared" ca="1" si="39"/>
        <v>0</v>
      </c>
      <c r="Q236">
        <f t="shared" ca="1" si="40"/>
        <v>1</v>
      </c>
      <c r="R236">
        <f t="shared" ca="1" si="41"/>
        <v>0</v>
      </c>
      <c r="S236">
        <f t="shared" ca="1" si="42"/>
        <v>1</v>
      </c>
      <c r="T236" s="17">
        <f t="shared" ca="1" si="43"/>
        <v>3.274285714285714</v>
      </c>
    </row>
    <row r="237" spans="2:20" x14ac:dyDescent="0.3">
      <c r="B237">
        <f t="shared" ca="1" si="34"/>
        <v>56</v>
      </c>
      <c r="C237" cm="1">
        <f t="array" aca="1" ref="C237" ca="1">INDIRECT(ADDRESS(myRAND(1,C$2,C$8:C$9)+5,C$1))</f>
        <v>0</v>
      </c>
      <c r="D237" cm="1">
        <f t="array" aca="1" ref="D237" ca="1">INDIRECT(ADDRESS(myRAND(1,D$2,D$8:D$9)+5,D$1))</f>
        <v>0</v>
      </c>
      <c r="E237" cm="1">
        <f t="array" aca="1" ref="E237" ca="1">INDIRECT(ADDRESS(myRAND(1,E$2,E$8:E$9)+5,E$1))</f>
        <v>0</v>
      </c>
      <c r="F237" cm="1">
        <f t="array" aca="1" ref="F237" ca="1">INDIRECT(ADDRESS(myRAND(1,F$2,F$8:F$9)+5,F$1))</f>
        <v>0</v>
      </c>
      <c r="G237" cm="1">
        <f t="array" aca="1" ref="G237" ca="1">INDIRECT(ADDRESS(myRAND(1,G$2,G$8:G$9)+5,G$1))</f>
        <v>0</v>
      </c>
      <c r="H237" cm="1">
        <f t="array" aca="1" ref="H237" ca="1">INDIRECT(ADDRESS(myRAND(1,H$2,H$8:H$9)+5,H$1))</f>
        <v>0</v>
      </c>
      <c r="I237" cm="1">
        <f t="array" aca="1" ref="I237" ca="1">INDIRECT(ADDRESS(myRAND(1,I$2,I$8:I$9)+5,I$1))</f>
        <v>0</v>
      </c>
      <c r="J237">
        <f t="shared" ca="1" si="33"/>
        <v>14</v>
      </c>
      <c r="K237">
        <f t="shared" ca="1" si="33"/>
        <v>223</v>
      </c>
      <c r="L237" s="3">
        <f t="shared" ca="1" si="35"/>
        <v>1</v>
      </c>
      <c r="M237" s="13">
        <f t="shared" ca="1" si="36"/>
        <v>0.10621499167517556</v>
      </c>
      <c r="N237">
        <f t="shared" ca="1" si="37"/>
        <v>-2.13</v>
      </c>
      <c r="O237">
        <f t="shared" ca="1" si="38"/>
        <v>0</v>
      </c>
      <c r="P237">
        <f t="shared" ca="1" si="39"/>
        <v>0</v>
      </c>
      <c r="Q237">
        <f t="shared" ca="1" si="40"/>
        <v>0</v>
      </c>
      <c r="R237">
        <f t="shared" ca="1" si="41"/>
        <v>1</v>
      </c>
      <c r="S237">
        <f t="shared" ca="1" si="42"/>
        <v>0</v>
      </c>
      <c r="T237" s="17">
        <f t="shared" ca="1" si="43"/>
        <v>1.8790476190476191</v>
      </c>
    </row>
    <row r="238" spans="2:20" x14ac:dyDescent="0.3">
      <c r="B238">
        <f t="shared" ca="1" si="34"/>
        <v>42</v>
      </c>
      <c r="C238" cm="1">
        <f t="array" aca="1" ref="C238" ca="1">INDIRECT(ADDRESS(myRAND(1,C$2,C$8:C$9)+5,C$1))</f>
        <v>0</v>
      </c>
      <c r="D238" cm="1">
        <f t="array" aca="1" ref="D238" ca="1">INDIRECT(ADDRESS(myRAND(1,D$2,D$8:D$9)+5,D$1))</f>
        <v>1</v>
      </c>
      <c r="E238" cm="1">
        <f t="array" aca="1" ref="E238" ca="1">INDIRECT(ADDRESS(myRAND(1,E$2,E$8:E$9)+5,E$1))</f>
        <v>1</v>
      </c>
      <c r="F238" cm="1">
        <f t="array" aca="1" ref="F238" ca="1">INDIRECT(ADDRESS(myRAND(1,F$2,F$8:F$9)+5,F$1))</f>
        <v>0</v>
      </c>
      <c r="G238" cm="1">
        <f t="array" aca="1" ref="G238" ca="1">INDIRECT(ADDRESS(myRAND(1,G$2,G$8:G$9)+5,G$1))</f>
        <v>1</v>
      </c>
      <c r="H238" cm="1">
        <f t="array" aca="1" ref="H238" ca="1">INDIRECT(ADDRESS(myRAND(1,H$2,H$8:H$9)+5,H$1))</f>
        <v>0</v>
      </c>
      <c r="I238" cm="1">
        <f t="array" aca="1" ref="I238" ca="1">INDIRECT(ADDRESS(myRAND(1,I$2,I$8:I$9)+5,I$1))</f>
        <v>1</v>
      </c>
      <c r="J238">
        <f t="shared" ca="1" si="33"/>
        <v>20</v>
      </c>
      <c r="K238">
        <f t="shared" ca="1" si="33"/>
        <v>201</v>
      </c>
      <c r="L238" s="3">
        <f t="shared" ca="1" si="35"/>
        <v>2</v>
      </c>
      <c r="M238" s="13">
        <f t="shared" ca="1" si="36"/>
        <v>0.31216866941715948</v>
      </c>
      <c r="N238">
        <f t="shared" ca="1" si="37"/>
        <v>-0.79000000000000048</v>
      </c>
      <c r="O238">
        <f t="shared" ca="1" si="38"/>
        <v>0</v>
      </c>
      <c r="P238">
        <f t="shared" ca="1" si="39"/>
        <v>1</v>
      </c>
      <c r="Q238">
        <f t="shared" ca="1" si="40"/>
        <v>0</v>
      </c>
      <c r="R238">
        <f t="shared" ca="1" si="41"/>
        <v>0</v>
      </c>
      <c r="S238">
        <f t="shared" ca="1" si="42"/>
        <v>2</v>
      </c>
      <c r="T238" s="17">
        <f t="shared" ca="1" si="43"/>
        <v>5.0342857142857138</v>
      </c>
    </row>
    <row r="239" spans="2:20" x14ac:dyDescent="0.3">
      <c r="B239">
        <f t="shared" ca="1" si="34"/>
        <v>44</v>
      </c>
      <c r="C239" cm="1">
        <f t="array" aca="1" ref="C239" ca="1">INDIRECT(ADDRESS(myRAND(1,C$2,C$8:C$9)+5,C$1))</f>
        <v>0</v>
      </c>
      <c r="D239" cm="1">
        <f t="array" aca="1" ref="D239" ca="1">INDIRECT(ADDRESS(myRAND(1,D$2,D$8:D$9)+5,D$1))</f>
        <v>0</v>
      </c>
      <c r="E239" cm="1">
        <f t="array" aca="1" ref="E239" ca="1">INDIRECT(ADDRESS(myRAND(1,E$2,E$8:E$9)+5,E$1))</f>
        <v>0</v>
      </c>
      <c r="F239" cm="1">
        <f t="array" aca="1" ref="F239" ca="1">INDIRECT(ADDRESS(myRAND(1,F$2,F$8:F$9)+5,F$1))</f>
        <v>0</v>
      </c>
      <c r="G239" cm="1">
        <f t="array" aca="1" ref="G239" ca="1">INDIRECT(ADDRESS(myRAND(1,G$2,G$8:G$9)+5,G$1))</f>
        <v>1</v>
      </c>
      <c r="H239" cm="1">
        <f t="array" aca="1" ref="H239" ca="1">INDIRECT(ADDRESS(myRAND(1,H$2,H$8:H$9)+5,H$1))</f>
        <v>1</v>
      </c>
      <c r="I239" cm="1">
        <f t="array" aca="1" ref="I239" ca="1">INDIRECT(ADDRESS(myRAND(1,I$2,I$8:I$9)+5,I$1))</f>
        <v>0</v>
      </c>
      <c r="J239">
        <f t="shared" ca="1" si="33"/>
        <v>14</v>
      </c>
      <c r="K239">
        <f t="shared" ca="1" si="33"/>
        <v>193</v>
      </c>
      <c r="L239" s="3">
        <f t="shared" ca="1" si="35"/>
        <v>1</v>
      </c>
      <c r="M239" s="13">
        <f t="shared" ca="1" si="36"/>
        <v>6.8497603724326075E-2</v>
      </c>
      <c r="N239">
        <f t="shared" ca="1" si="37"/>
        <v>-2.6100000000000003</v>
      </c>
      <c r="O239">
        <f t="shared" ca="1" si="38"/>
        <v>0</v>
      </c>
      <c r="P239">
        <f t="shared" ca="1" si="39"/>
        <v>0</v>
      </c>
      <c r="Q239">
        <f t="shared" ca="1" si="40"/>
        <v>0</v>
      </c>
      <c r="R239">
        <f t="shared" ca="1" si="41"/>
        <v>0</v>
      </c>
      <c r="S239">
        <f t="shared" ca="1" si="42"/>
        <v>2</v>
      </c>
      <c r="T239" s="17">
        <f t="shared" ca="1" si="43"/>
        <v>1.6161904761904762</v>
      </c>
    </row>
    <row r="240" spans="2:20" x14ac:dyDescent="0.3">
      <c r="B240">
        <f t="shared" ca="1" si="34"/>
        <v>45</v>
      </c>
      <c r="C240" cm="1">
        <f t="array" aca="1" ref="C240" ca="1">INDIRECT(ADDRESS(myRAND(1,C$2,C$8:C$9)+5,C$1))</f>
        <v>0</v>
      </c>
      <c r="D240" cm="1">
        <f t="array" aca="1" ref="D240" ca="1">INDIRECT(ADDRESS(myRAND(1,D$2,D$8:D$9)+5,D$1))</f>
        <v>1</v>
      </c>
      <c r="E240" cm="1">
        <f t="array" aca="1" ref="E240" ca="1">INDIRECT(ADDRESS(myRAND(1,E$2,E$8:E$9)+5,E$1))</f>
        <v>1</v>
      </c>
      <c r="F240" cm="1">
        <f t="array" aca="1" ref="F240" ca="1">INDIRECT(ADDRESS(myRAND(1,F$2,F$8:F$9)+5,F$1))</f>
        <v>0</v>
      </c>
      <c r="G240" cm="1">
        <f t="array" aca="1" ref="G240" ca="1">INDIRECT(ADDRESS(myRAND(1,G$2,G$8:G$9)+5,G$1))</f>
        <v>0</v>
      </c>
      <c r="H240" cm="1">
        <f t="array" aca="1" ref="H240" ca="1">INDIRECT(ADDRESS(myRAND(1,H$2,H$8:H$9)+5,H$1))</f>
        <v>0</v>
      </c>
      <c r="I240" cm="1">
        <f t="array" aca="1" ref="I240" ca="1">INDIRECT(ADDRESS(myRAND(1,I$2,I$8:I$9)+5,I$1))</f>
        <v>1</v>
      </c>
      <c r="J240">
        <f t="shared" ca="1" si="33"/>
        <v>16</v>
      </c>
      <c r="K240">
        <f t="shared" ca="1" si="33"/>
        <v>240</v>
      </c>
      <c r="L240" s="3">
        <f t="shared" ca="1" si="35"/>
        <v>2</v>
      </c>
      <c r="M240" s="13">
        <f t="shared" ca="1" si="36"/>
        <v>0.3384968407970475</v>
      </c>
      <c r="N240">
        <f t="shared" ca="1" si="37"/>
        <v>-0.67000000000000037</v>
      </c>
      <c r="O240">
        <f t="shared" ca="1" si="38"/>
        <v>0</v>
      </c>
      <c r="P240">
        <f t="shared" ca="1" si="39"/>
        <v>1</v>
      </c>
      <c r="Q240">
        <f t="shared" ca="1" si="40"/>
        <v>0</v>
      </c>
      <c r="R240">
        <f t="shared" ca="1" si="41"/>
        <v>0</v>
      </c>
      <c r="S240">
        <f t="shared" ca="1" si="42"/>
        <v>1</v>
      </c>
      <c r="T240" s="17">
        <f t="shared" ca="1" si="43"/>
        <v>4.9833333333333334</v>
      </c>
    </row>
    <row r="241" spans="2:20" x14ac:dyDescent="0.3">
      <c r="B241">
        <f t="shared" ca="1" si="34"/>
        <v>48</v>
      </c>
      <c r="C241" cm="1">
        <f t="array" aca="1" ref="C241" ca="1">INDIRECT(ADDRESS(myRAND(1,C$2,C$8:C$9)+5,C$1))</f>
        <v>0</v>
      </c>
      <c r="D241" cm="1">
        <f t="array" aca="1" ref="D241" ca="1">INDIRECT(ADDRESS(myRAND(1,D$2,D$8:D$9)+5,D$1))</f>
        <v>1</v>
      </c>
      <c r="E241" cm="1">
        <f t="array" aca="1" ref="E241" ca="1">INDIRECT(ADDRESS(myRAND(1,E$2,E$8:E$9)+5,E$1))</f>
        <v>0</v>
      </c>
      <c r="F241" cm="1">
        <f t="array" aca="1" ref="F241" ca="1">INDIRECT(ADDRESS(myRAND(1,F$2,F$8:F$9)+5,F$1))</f>
        <v>1</v>
      </c>
      <c r="G241" cm="1">
        <f t="array" aca="1" ref="G241" ca="1">INDIRECT(ADDRESS(myRAND(1,G$2,G$8:G$9)+5,G$1))</f>
        <v>0</v>
      </c>
      <c r="H241" cm="1">
        <f t="array" aca="1" ref="H241" ca="1">INDIRECT(ADDRESS(myRAND(1,H$2,H$8:H$9)+5,H$1))</f>
        <v>1</v>
      </c>
      <c r="I241" cm="1">
        <f t="array" aca="1" ref="I241" ca="1">INDIRECT(ADDRESS(myRAND(1,I$2,I$8:I$9)+5,I$1))</f>
        <v>1</v>
      </c>
      <c r="J241">
        <f t="shared" ca="1" si="33"/>
        <v>18</v>
      </c>
      <c r="K241">
        <f t="shared" ca="1" si="33"/>
        <v>230</v>
      </c>
      <c r="L241" s="3">
        <f t="shared" ca="1" si="35"/>
        <v>3</v>
      </c>
      <c r="M241" s="13">
        <f t="shared" ca="1" si="36"/>
        <v>0.3658644089891992</v>
      </c>
      <c r="N241">
        <f t="shared" ca="1" si="37"/>
        <v>-0.55000000000000027</v>
      </c>
      <c r="O241">
        <f t="shared" ca="1" si="38"/>
        <v>0</v>
      </c>
      <c r="P241">
        <f t="shared" ca="1" si="39"/>
        <v>1</v>
      </c>
      <c r="Q241">
        <f t="shared" ca="1" si="40"/>
        <v>0</v>
      </c>
      <c r="R241">
        <f t="shared" ca="1" si="41"/>
        <v>0</v>
      </c>
      <c r="S241">
        <f t="shared" ca="1" si="42"/>
        <v>2</v>
      </c>
      <c r="T241" s="17">
        <f t="shared" ca="1" si="43"/>
        <v>5.0990476190476191</v>
      </c>
    </row>
    <row r="242" spans="2:20" x14ac:dyDescent="0.3">
      <c r="B242">
        <f t="shared" ca="1" si="34"/>
        <v>61</v>
      </c>
      <c r="C242" cm="1">
        <f t="array" aca="1" ref="C242" ca="1">INDIRECT(ADDRESS(myRAND(1,C$2,C$8:C$9)+5,C$1))</f>
        <v>0</v>
      </c>
      <c r="D242" cm="1">
        <f t="array" aca="1" ref="D242" ca="1">INDIRECT(ADDRESS(myRAND(1,D$2,D$8:D$9)+5,D$1))</f>
        <v>1</v>
      </c>
      <c r="E242" cm="1">
        <f t="array" aca="1" ref="E242" ca="1">INDIRECT(ADDRESS(myRAND(1,E$2,E$8:E$9)+5,E$1))</f>
        <v>0</v>
      </c>
      <c r="F242" cm="1">
        <f t="array" aca="1" ref="F242" ca="1">INDIRECT(ADDRESS(myRAND(1,F$2,F$8:F$9)+5,F$1))</f>
        <v>1</v>
      </c>
      <c r="G242" cm="1">
        <f t="array" aca="1" ref="G242" ca="1">INDIRECT(ADDRESS(myRAND(1,G$2,G$8:G$9)+5,G$1))</f>
        <v>1</v>
      </c>
      <c r="H242" cm="1">
        <f t="array" aca="1" ref="H242" ca="1">INDIRECT(ADDRESS(myRAND(1,H$2,H$8:H$9)+5,H$1))</f>
        <v>0</v>
      </c>
      <c r="I242" cm="1">
        <f t="array" aca="1" ref="I242" ca="1">INDIRECT(ADDRESS(myRAND(1,I$2,I$8:I$9)+5,I$1))</f>
        <v>0</v>
      </c>
      <c r="J242">
        <f t="shared" ca="1" si="33"/>
        <v>16</v>
      </c>
      <c r="K242">
        <f t="shared" ca="1" si="33"/>
        <v>193</v>
      </c>
      <c r="L242" s="3">
        <f t="shared" ca="1" si="35"/>
        <v>3</v>
      </c>
      <c r="M242" s="13">
        <f t="shared" ca="1" si="36"/>
        <v>0.49250056244937951</v>
      </c>
      <c r="N242">
        <f t="shared" ca="1" si="37"/>
        <v>-3.0000000000000249E-2</v>
      </c>
      <c r="O242">
        <f t="shared" ca="1" si="38"/>
        <v>0</v>
      </c>
      <c r="P242">
        <f t="shared" ca="1" si="39"/>
        <v>1</v>
      </c>
      <c r="Q242">
        <f t="shared" ca="1" si="40"/>
        <v>0</v>
      </c>
      <c r="R242">
        <f t="shared" ca="1" si="41"/>
        <v>0</v>
      </c>
      <c r="S242">
        <f t="shared" ca="1" si="42"/>
        <v>1</v>
      </c>
      <c r="T242" s="17">
        <f t="shared" ca="1" si="43"/>
        <v>1.9195238095238094</v>
      </c>
    </row>
    <row r="243" spans="2:20" x14ac:dyDescent="0.3">
      <c r="B243">
        <f t="shared" ca="1" si="34"/>
        <v>68</v>
      </c>
      <c r="C243" cm="1">
        <f t="array" aca="1" ref="C243" ca="1">INDIRECT(ADDRESS(myRAND(1,C$2,C$8:C$9)+5,C$1))</f>
        <v>0</v>
      </c>
      <c r="D243" cm="1">
        <f t="array" aca="1" ref="D243" ca="1">INDIRECT(ADDRESS(myRAND(1,D$2,D$8:D$9)+5,D$1))</f>
        <v>0</v>
      </c>
      <c r="E243" cm="1">
        <f t="array" aca="1" ref="E243" ca="1">INDIRECT(ADDRESS(myRAND(1,E$2,E$8:E$9)+5,E$1))</f>
        <v>1</v>
      </c>
      <c r="F243" cm="1">
        <f t="array" aca="1" ref="F243" ca="1">INDIRECT(ADDRESS(myRAND(1,F$2,F$8:F$9)+5,F$1))</f>
        <v>0</v>
      </c>
      <c r="G243" cm="1">
        <f t="array" aca="1" ref="G243" ca="1">INDIRECT(ADDRESS(myRAND(1,G$2,G$8:G$9)+5,G$1))</f>
        <v>1</v>
      </c>
      <c r="H243" cm="1">
        <f t="array" aca="1" ref="H243" ca="1">INDIRECT(ADDRESS(myRAND(1,H$2,H$8:H$9)+5,H$1))</f>
        <v>0</v>
      </c>
      <c r="I243" cm="1">
        <f t="array" aca="1" ref="I243" ca="1">INDIRECT(ADDRESS(myRAND(1,I$2,I$8:I$9)+5,I$1))</f>
        <v>0</v>
      </c>
      <c r="J243">
        <f t="shared" ca="1" si="33"/>
        <v>14</v>
      </c>
      <c r="K243">
        <f t="shared" ca="1" si="33"/>
        <v>190</v>
      </c>
      <c r="L243" s="3">
        <f t="shared" ca="1" si="35"/>
        <v>3</v>
      </c>
      <c r="M243" s="13">
        <f t="shared" ca="1" si="36"/>
        <v>0.16110894957658525</v>
      </c>
      <c r="N243">
        <f t="shared" ca="1" si="37"/>
        <v>-1.65</v>
      </c>
      <c r="O243">
        <f t="shared" ca="1" si="38"/>
        <v>0</v>
      </c>
      <c r="P243">
        <f t="shared" ca="1" si="39"/>
        <v>0</v>
      </c>
      <c r="Q243">
        <f t="shared" ca="1" si="40"/>
        <v>1</v>
      </c>
      <c r="R243">
        <f t="shared" ca="1" si="41"/>
        <v>0</v>
      </c>
      <c r="S243">
        <f t="shared" ca="1" si="42"/>
        <v>1</v>
      </c>
      <c r="T243" s="17">
        <f t="shared" ca="1" si="43"/>
        <v>1.8419047619047619</v>
      </c>
    </row>
    <row r="244" spans="2:20" x14ac:dyDescent="0.3">
      <c r="B244">
        <f t="shared" ca="1" si="34"/>
        <v>39</v>
      </c>
      <c r="C244" cm="1">
        <f t="array" aca="1" ref="C244" ca="1">INDIRECT(ADDRESS(myRAND(1,C$2,C$8:C$9)+5,C$1))</f>
        <v>0</v>
      </c>
      <c r="D244" cm="1">
        <f t="array" aca="1" ref="D244" ca="1">INDIRECT(ADDRESS(myRAND(1,D$2,D$8:D$9)+5,D$1))</f>
        <v>1</v>
      </c>
      <c r="E244" cm="1">
        <f t="array" aca="1" ref="E244" ca="1">INDIRECT(ADDRESS(myRAND(1,E$2,E$8:E$9)+5,E$1))</f>
        <v>1</v>
      </c>
      <c r="F244" cm="1">
        <f t="array" aca="1" ref="F244" ca="1">INDIRECT(ADDRESS(myRAND(1,F$2,F$8:F$9)+5,F$1))</f>
        <v>0</v>
      </c>
      <c r="G244" cm="1">
        <f t="array" aca="1" ref="G244" ca="1">INDIRECT(ADDRESS(myRAND(1,G$2,G$8:G$9)+5,G$1))</f>
        <v>0</v>
      </c>
      <c r="H244" cm="1">
        <f t="array" aca="1" ref="H244" ca="1">INDIRECT(ADDRESS(myRAND(1,H$2,H$8:H$9)+5,H$1))</f>
        <v>0</v>
      </c>
      <c r="I244" cm="1">
        <f t="array" aca="1" ref="I244" ca="1">INDIRECT(ADDRESS(myRAND(1,I$2,I$8:I$9)+5,I$1))</f>
        <v>1</v>
      </c>
      <c r="J244">
        <f t="shared" ca="1" si="33"/>
        <v>15</v>
      </c>
      <c r="K244">
        <f t="shared" ca="1" si="33"/>
        <v>224</v>
      </c>
      <c r="L244" s="3">
        <f t="shared" ca="1" si="35"/>
        <v>2</v>
      </c>
      <c r="M244" s="13">
        <f t="shared" ca="1" si="36"/>
        <v>0.28699983724771833</v>
      </c>
      <c r="N244">
        <f t="shared" ca="1" si="37"/>
        <v>-0.91000000000000014</v>
      </c>
      <c r="O244">
        <f t="shared" ca="1" si="38"/>
        <v>0</v>
      </c>
      <c r="P244">
        <f t="shared" ca="1" si="39"/>
        <v>1</v>
      </c>
      <c r="Q244">
        <f t="shared" ca="1" si="40"/>
        <v>0</v>
      </c>
      <c r="R244">
        <f t="shared" ca="1" si="41"/>
        <v>0</v>
      </c>
      <c r="S244">
        <f t="shared" ca="1" si="42"/>
        <v>1</v>
      </c>
      <c r="T244" s="17">
        <f t="shared" ca="1" si="43"/>
        <v>4.7804761904761905</v>
      </c>
    </row>
    <row r="245" spans="2:20" x14ac:dyDescent="0.3">
      <c r="B245">
        <f t="shared" ca="1" si="34"/>
        <v>61</v>
      </c>
      <c r="C245" cm="1">
        <f t="array" aca="1" ref="C245" ca="1">INDIRECT(ADDRESS(myRAND(1,C$2,C$8:C$9)+5,C$1))</f>
        <v>1</v>
      </c>
      <c r="D245" cm="1">
        <f t="array" aca="1" ref="D245" ca="1">INDIRECT(ADDRESS(myRAND(1,D$2,D$8:D$9)+5,D$1))</f>
        <v>1</v>
      </c>
      <c r="E245" cm="1">
        <f t="array" aca="1" ref="E245" ca="1">INDIRECT(ADDRESS(myRAND(1,E$2,E$8:E$9)+5,E$1))</f>
        <v>1</v>
      </c>
      <c r="F245" cm="1">
        <f t="array" aca="1" ref="F245" ca="1">INDIRECT(ADDRESS(myRAND(1,F$2,F$8:F$9)+5,F$1))</f>
        <v>1</v>
      </c>
      <c r="G245" cm="1">
        <f t="array" aca="1" ref="G245" ca="1">INDIRECT(ADDRESS(myRAND(1,G$2,G$8:G$9)+5,G$1))</f>
        <v>0</v>
      </c>
      <c r="H245" cm="1">
        <f t="array" aca="1" ref="H245" ca="1">INDIRECT(ADDRESS(myRAND(1,H$2,H$8:H$9)+5,H$1))</f>
        <v>0</v>
      </c>
      <c r="I245" cm="1">
        <f t="array" aca="1" ref="I245" ca="1">INDIRECT(ADDRESS(myRAND(1,I$2,I$8:I$9)+5,I$1))</f>
        <v>0</v>
      </c>
      <c r="J245">
        <f t="shared" ca="1" si="33"/>
        <v>17</v>
      </c>
      <c r="K245">
        <f t="shared" ca="1" si="33"/>
        <v>215</v>
      </c>
      <c r="L245" s="3">
        <f t="shared" ca="1" si="35"/>
        <v>3</v>
      </c>
      <c r="M245" s="13">
        <f t="shared" ca="1" si="36"/>
        <v>0.51249739648421033</v>
      </c>
      <c r="N245">
        <f t="shared" ca="1" si="37"/>
        <v>4.9999999999999933E-2</v>
      </c>
      <c r="O245">
        <f t="shared" ca="1" si="38"/>
        <v>1</v>
      </c>
      <c r="P245">
        <f t="shared" ca="1" si="39"/>
        <v>0</v>
      </c>
      <c r="Q245">
        <f t="shared" ca="1" si="40"/>
        <v>0</v>
      </c>
      <c r="R245">
        <f t="shared" ca="1" si="41"/>
        <v>0</v>
      </c>
      <c r="S245">
        <f t="shared" ca="1" si="42"/>
        <v>0</v>
      </c>
      <c r="T245" s="17">
        <f t="shared" ca="1" si="43"/>
        <v>3.0909523809523809</v>
      </c>
    </row>
    <row r="246" spans="2:20" x14ac:dyDescent="0.3">
      <c r="B246">
        <f t="shared" ca="1" si="34"/>
        <v>62</v>
      </c>
      <c r="C246" cm="1">
        <f t="array" aca="1" ref="C246" ca="1">INDIRECT(ADDRESS(myRAND(1,C$2,C$8:C$9)+5,C$1))</f>
        <v>0</v>
      </c>
      <c r="D246" cm="1">
        <f t="array" aca="1" ref="D246" ca="1">INDIRECT(ADDRESS(myRAND(1,D$2,D$8:D$9)+5,D$1))</f>
        <v>0</v>
      </c>
      <c r="E246" cm="1">
        <f t="array" aca="1" ref="E246" ca="1">INDIRECT(ADDRESS(myRAND(1,E$2,E$8:E$9)+5,E$1))</f>
        <v>0</v>
      </c>
      <c r="F246" cm="1">
        <f t="array" aca="1" ref="F246" ca="1">INDIRECT(ADDRESS(myRAND(1,F$2,F$8:F$9)+5,F$1))</f>
        <v>1</v>
      </c>
      <c r="G246" cm="1">
        <f t="array" aca="1" ref="G246" ca="1">INDIRECT(ADDRESS(myRAND(1,G$2,G$8:G$9)+5,G$1))</f>
        <v>0</v>
      </c>
      <c r="H246" cm="1">
        <f t="array" aca="1" ref="H246" ca="1">INDIRECT(ADDRESS(myRAND(1,H$2,H$8:H$9)+5,H$1))</f>
        <v>1</v>
      </c>
      <c r="I246" cm="1">
        <f t="array" aca="1" ref="I246" ca="1">INDIRECT(ADDRESS(myRAND(1,I$2,I$8:I$9)+5,I$1))</f>
        <v>1</v>
      </c>
      <c r="J246">
        <f t="shared" ca="1" si="33"/>
        <v>16</v>
      </c>
      <c r="K246">
        <f t="shared" ca="1" si="33"/>
        <v>212</v>
      </c>
      <c r="L246" s="3">
        <f t="shared" ca="1" si="35"/>
        <v>1</v>
      </c>
      <c r="M246" s="13">
        <f t="shared" ca="1" si="36"/>
        <v>0.1312444694385233</v>
      </c>
      <c r="N246">
        <f t="shared" ca="1" si="37"/>
        <v>-1.8900000000000001</v>
      </c>
      <c r="O246">
        <f t="shared" ca="1" si="38"/>
        <v>0</v>
      </c>
      <c r="P246">
        <f t="shared" ca="1" si="39"/>
        <v>0</v>
      </c>
      <c r="Q246">
        <f t="shared" ca="1" si="40"/>
        <v>1</v>
      </c>
      <c r="R246">
        <f t="shared" ca="1" si="41"/>
        <v>0</v>
      </c>
      <c r="S246">
        <f t="shared" ca="1" si="42"/>
        <v>2</v>
      </c>
      <c r="T246" s="17">
        <f t="shared" ca="1" si="43"/>
        <v>5.0199999999999996</v>
      </c>
    </row>
    <row r="247" spans="2:20" x14ac:dyDescent="0.3">
      <c r="B247">
        <f t="shared" ca="1" si="34"/>
        <v>47</v>
      </c>
      <c r="C247" cm="1">
        <f t="array" aca="1" ref="C247" ca="1">INDIRECT(ADDRESS(myRAND(1,C$2,C$8:C$9)+5,C$1))</f>
        <v>0</v>
      </c>
      <c r="D247" cm="1">
        <f t="array" aca="1" ref="D247" ca="1">INDIRECT(ADDRESS(myRAND(1,D$2,D$8:D$9)+5,D$1))</f>
        <v>1</v>
      </c>
      <c r="E247" cm="1">
        <f t="array" aca="1" ref="E247" ca="1">INDIRECT(ADDRESS(myRAND(1,E$2,E$8:E$9)+5,E$1))</f>
        <v>0</v>
      </c>
      <c r="F247" cm="1">
        <f t="array" aca="1" ref="F247" ca="1">INDIRECT(ADDRESS(myRAND(1,F$2,F$8:F$9)+5,F$1))</f>
        <v>1</v>
      </c>
      <c r="G247" cm="1">
        <f t="array" aca="1" ref="G247" ca="1">INDIRECT(ADDRESS(myRAND(1,G$2,G$8:G$9)+5,G$1))</f>
        <v>0</v>
      </c>
      <c r="H247" cm="1">
        <f t="array" aca="1" ref="H247" ca="1">INDIRECT(ADDRESS(myRAND(1,H$2,H$8:H$9)+5,H$1))</f>
        <v>0</v>
      </c>
      <c r="I247" cm="1">
        <f t="array" aca="1" ref="I247" ca="1">INDIRECT(ADDRESS(myRAND(1,I$2,I$8:I$9)+5,I$1))</f>
        <v>1</v>
      </c>
      <c r="J247">
        <f t="shared" ca="1" si="33"/>
        <v>17</v>
      </c>
      <c r="K247">
        <f t="shared" ca="1" si="33"/>
        <v>178</v>
      </c>
      <c r="L247" s="3">
        <f t="shared" ca="1" si="35"/>
        <v>3</v>
      </c>
      <c r="M247" s="13">
        <f t="shared" ca="1" si="36"/>
        <v>0.35663485430559816</v>
      </c>
      <c r="N247">
        <f t="shared" ca="1" si="37"/>
        <v>-0.5900000000000003</v>
      </c>
      <c r="O247">
        <f t="shared" ca="1" si="38"/>
        <v>0</v>
      </c>
      <c r="P247">
        <f t="shared" ca="1" si="39"/>
        <v>1</v>
      </c>
      <c r="Q247">
        <f t="shared" ca="1" si="40"/>
        <v>0</v>
      </c>
      <c r="R247">
        <f t="shared" ca="1" si="41"/>
        <v>0</v>
      </c>
      <c r="S247">
        <f t="shared" ca="1" si="42"/>
        <v>1</v>
      </c>
      <c r="T247" s="17">
        <f t="shared" ca="1" si="43"/>
        <v>4.7747619047619043</v>
      </c>
    </row>
    <row r="248" spans="2:20" x14ac:dyDescent="0.3">
      <c r="B248">
        <f t="shared" ca="1" si="34"/>
        <v>40</v>
      </c>
      <c r="C248" cm="1">
        <f t="array" aca="1" ref="C248" ca="1">INDIRECT(ADDRESS(myRAND(1,C$2,C$8:C$9)+5,C$1))</f>
        <v>1</v>
      </c>
      <c r="D248" cm="1">
        <f t="array" aca="1" ref="D248" ca="1">INDIRECT(ADDRESS(myRAND(1,D$2,D$8:D$9)+5,D$1))</f>
        <v>1</v>
      </c>
      <c r="E248" cm="1">
        <f t="array" aca="1" ref="E248" ca="1">INDIRECT(ADDRESS(myRAND(1,E$2,E$8:E$9)+5,E$1))</f>
        <v>0</v>
      </c>
      <c r="F248" cm="1">
        <f t="array" aca="1" ref="F248" ca="1">INDIRECT(ADDRESS(myRAND(1,F$2,F$8:F$9)+5,F$1))</f>
        <v>1</v>
      </c>
      <c r="G248" cm="1">
        <f t="array" aca="1" ref="G248" ca="1">INDIRECT(ADDRESS(myRAND(1,G$2,G$8:G$9)+5,G$1))</f>
        <v>0</v>
      </c>
      <c r="H248" cm="1">
        <f t="array" aca="1" ref="H248" ca="1">INDIRECT(ADDRESS(myRAND(1,H$2,H$8:H$9)+5,H$1))</f>
        <v>1</v>
      </c>
      <c r="I248" cm="1">
        <f t="array" aca="1" ref="I248" ca="1">INDIRECT(ADDRESS(myRAND(1,I$2,I$8:I$9)+5,I$1))</f>
        <v>0</v>
      </c>
      <c r="J248">
        <f t="shared" ca="1" si="33"/>
        <v>15</v>
      </c>
      <c r="K248">
        <f t="shared" ca="1" si="33"/>
        <v>216</v>
      </c>
      <c r="L248" s="3">
        <f t="shared" ca="1" si="35"/>
        <v>3</v>
      </c>
      <c r="M248" s="13">
        <f t="shared" ca="1" si="36"/>
        <v>0.61538375639118215</v>
      </c>
      <c r="N248">
        <f t="shared" ca="1" si="37"/>
        <v>0.47</v>
      </c>
      <c r="O248">
        <f t="shared" ca="1" si="38"/>
        <v>0</v>
      </c>
      <c r="P248">
        <f t="shared" ca="1" si="39"/>
        <v>1</v>
      </c>
      <c r="Q248">
        <f t="shared" ca="1" si="40"/>
        <v>0</v>
      </c>
      <c r="R248">
        <f t="shared" ca="1" si="41"/>
        <v>0</v>
      </c>
      <c r="S248">
        <f t="shared" ca="1" si="42"/>
        <v>1</v>
      </c>
      <c r="T248" s="17">
        <f t="shared" ca="1" si="43"/>
        <v>2.7523809523809524</v>
      </c>
    </row>
    <row r="249" spans="2:20" x14ac:dyDescent="0.3">
      <c r="B249">
        <f t="shared" ca="1" si="34"/>
        <v>55</v>
      </c>
      <c r="C249" cm="1">
        <f t="array" aca="1" ref="C249" ca="1">INDIRECT(ADDRESS(myRAND(1,C$2,C$8:C$9)+5,C$1))</f>
        <v>0</v>
      </c>
      <c r="D249" cm="1">
        <f t="array" aca="1" ref="D249" ca="1">INDIRECT(ADDRESS(myRAND(1,D$2,D$8:D$9)+5,D$1))</f>
        <v>1</v>
      </c>
      <c r="E249" cm="1">
        <f t="array" aca="1" ref="E249" ca="1">INDIRECT(ADDRESS(myRAND(1,E$2,E$8:E$9)+5,E$1))</f>
        <v>1</v>
      </c>
      <c r="F249" cm="1">
        <f t="array" aca="1" ref="F249" ca="1">INDIRECT(ADDRESS(myRAND(1,F$2,F$8:F$9)+5,F$1))</f>
        <v>1</v>
      </c>
      <c r="G249" cm="1">
        <f t="array" aca="1" ref="G249" ca="1">INDIRECT(ADDRESS(myRAND(1,G$2,G$8:G$9)+5,G$1))</f>
        <v>0</v>
      </c>
      <c r="H249" cm="1">
        <f t="array" aca="1" ref="H249" ca="1">INDIRECT(ADDRESS(myRAND(1,H$2,H$8:H$9)+5,H$1))</f>
        <v>0</v>
      </c>
      <c r="I249" cm="1">
        <f t="array" aca="1" ref="I249" ca="1">INDIRECT(ADDRESS(myRAND(1,I$2,I$8:I$9)+5,I$1))</f>
        <v>1</v>
      </c>
      <c r="J249">
        <f t="shared" ca="1" si="33"/>
        <v>14</v>
      </c>
      <c r="K249">
        <f t="shared" ca="1" si="33"/>
        <v>159</v>
      </c>
      <c r="L249" s="3">
        <f t="shared" ca="1" si="35"/>
        <v>2</v>
      </c>
      <c r="M249" s="13">
        <f t="shared" ca="1" si="36"/>
        <v>0.17799368578624652</v>
      </c>
      <c r="N249">
        <f t="shared" ca="1" si="37"/>
        <v>-1.5299999999999998</v>
      </c>
      <c r="O249">
        <f t="shared" ca="1" si="38"/>
        <v>1</v>
      </c>
      <c r="P249">
        <f t="shared" ca="1" si="39"/>
        <v>0</v>
      </c>
      <c r="Q249">
        <f t="shared" ca="1" si="40"/>
        <v>0</v>
      </c>
      <c r="R249">
        <f t="shared" ca="1" si="41"/>
        <v>0</v>
      </c>
      <c r="S249">
        <f t="shared" ca="1" si="42"/>
        <v>1</v>
      </c>
      <c r="T249" s="17">
        <f t="shared" ca="1" si="43"/>
        <v>4.5642857142857141</v>
      </c>
    </row>
    <row r="250" spans="2:20" x14ac:dyDescent="0.3">
      <c r="B250">
        <f t="shared" ca="1" si="34"/>
        <v>55</v>
      </c>
      <c r="C250" cm="1">
        <f t="array" aca="1" ref="C250" ca="1">INDIRECT(ADDRESS(myRAND(1,C$2,C$8:C$9)+5,C$1))</f>
        <v>0</v>
      </c>
      <c r="D250" cm="1">
        <f t="array" aca="1" ref="D250" ca="1">INDIRECT(ADDRESS(myRAND(1,D$2,D$8:D$9)+5,D$1))</f>
        <v>0</v>
      </c>
      <c r="E250" cm="1">
        <f t="array" aca="1" ref="E250" ca="1">INDIRECT(ADDRESS(myRAND(1,E$2,E$8:E$9)+5,E$1))</f>
        <v>1</v>
      </c>
      <c r="F250" cm="1">
        <f t="array" aca="1" ref="F250" ca="1">INDIRECT(ADDRESS(myRAND(1,F$2,F$8:F$9)+5,F$1))</f>
        <v>0</v>
      </c>
      <c r="G250" cm="1">
        <f t="array" aca="1" ref="G250" ca="1">INDIRECT(ADDRESS(myRAND(1,G$2,G$8:G$9)+5,G$1))</f>
        <v>0</v>
      </c>
      <c r="H250" cm="1">
        <f t="array" aca="1" ref="H250" ca="1">INDIRECT(ADDRESS(myRAND(1,H$2,H$8:H$9)+5,H$1))</f>
        <v>0</v>
      </c>
      <c r="I250" cm="1">
        <f t="array" aca="1" ref="I250" ca="1">INDIRECT(ADDRESS(myRAND(1,I$2,I$8:I$9)+5,I$1))</f>
        <v>1</v>
      </c>
      <c r="J250">
        <f t="shared" ca="1" si="33"/>
        <v>11</v>
      </c>
      <c r="K250">
        <f t="shared" ca="1" si="33"/>
        <v>186</v>
      </c>
      <c r="L250" s="3">
        <f t="shared" ca="1" si="35"/>
        <v>1</v>
      </c>
      <c r="M250" s="13">
        <f t="shared" ca="1" si="36"/>
        <v>0.10247703344409737</v>
      </c>
      <c r="N250">
        <f t="shared" ca="1" si="37"/>
        <v>-2.17</v>
      </c>
      <c r="O250">
        <f t="shared" ca="1" si="38"/>
        <v>0</v>
      </c>
      <c r="P250">
        <f t="shared" ca="1" si="39"/>
        <v>0</v>
      </c>
      <c r="Q250">
        <f t="shared" ca="1" si="40"/>
        <v>1</v>
      </c>
      <c r="R250">
        <f t="shared" ca="1" si="41"/>
        <v>0</v>
      </c>
      <c r="S250">
        <f t="shared" ca="1" si="42"/>
        <v>1</v>
      </c>
      <c r="T250" s="17">
        <f t="shared" ca="1" si="43"/>
        <v>4.4928571428571429</v>
      </c>
    </row>
    <row r="251" spans="2:20" x14ac:dyDescent="0.3">
      <c r="B251">
        <f t="shared" ca="1" si="34"/>
        <v>70</v>
      </c>
      <c r="C251" cm="1">
        <f t="array" aca="1" ref="C251" ca="1">INDIRECT(ADDRESS(myRAND(1,C$2,C$8:C$9)+5,C$1))</f>
        <v>1</v>
      </c>
      <c r="D251" cm="1">
        <f t="array" aca="1" ref="D251" ca="1">INDIRECT(ADDRESS(myRAND(1,D$2,D$8:D$9)+5,D$1))</f>
        <v>1</v>
      </c>
      <c r="E251" cm="1">
        <f t="array" aca="1" ref="E251" ca="1">INDIRECT(ADDRESS(myRAND(1,E$2,E$8:E$9)+5,E$1))</f>
        <v>1</v>
      </c>
      <c r="F251" cm="1">
        <f t="array" aca="1" ref="F251" ca="1">INDIRECT(ADDRESS(myRAND(1,F$2,F$8:F$9)+5,F$1))</f>
        <v>1</v>
      </c>
      <c r="G251" cm="1">
        <f t="array" aca="1" ref="G251" ca="1">INDIRECT(ADDRESS(myRAND(1,G$2,G$8:G$9)+5,G$1))</f>
        <v>0</v>
      </c>
      <c r="H251" cm="1">
        <f t="array" aca="1" ref="H251" ca="1">INDIRECT(ADDRESS(myRAND(1,H$2,H$8:H$9)+5,H$1))</f>
        <v>0</v>
      </c>
      <c r="I251" cm="1">
        <f t="array" aca="1" ref="I251" ca="1">INDIRECT(ADDRESS(myRAND(1,I$2,I$8:I$9)+5,I$1))</f>
        <v>0</v>
      </c>
      <c r="J251">
        <f t="shared" ca="1" si="33"/>
        <v>14</v>
      </c>
      <c r="K251">
        <f t="shared" ca="1" si="33"/>
        <v>194</v>
      </c>
      <c r="L251" s="3">
        <f t="shared" ca="1" si="35"/>
        <v>3</v>
      </c>
      <c r="M251" s="13">
        <f t="shared" ca="1" si="36"/>
        <v>0.60108787884836978</v>
      </c>
      <c r="N251">
        <f t="shared" ca="1" si="37"/>
        <v>0.41000000000000025</v>
      </c>
      <c r="O251">
        <f t="shared" ca="1" si="38"/>
        <v>1</v>
      </c>
      <c r="P251">
        <f t="shared" ca="1" si="39"/>
        <v>0</v>
      </c>
      <c r="Q251">
        <f t="shared" ca="1" si="40"/>
        <v>0</v>
      </c>
      <c r="R251">
        <f t="shared" ca="1" si="41"/>
        <v>0</v>
      </c>
      <c r="S251">
        <f t="shared" ca="1" si="42"/>
        <v>0</v>
      </c>
      <c r="T251" s="17">
        <f t="shared" ca="1" si="43"/>
        <v>2.8809523809523809</v>
      </c>
    </row>
    <row r="252" spans="2:20" x14ac:dyDescent="0.3">
      <c r="B252">
        <f t="shared" ca="1" si="34"/>
        <v>49</v>
      </c>
      <c r="C252" cm="1">
        <f t="array" aca="1" ref="C252" ca="1">INDIRECT(ADDRESS(myRAND(1,C$2,C$8:C$9)+5,C$1))</f>
        <v>1</v>
      </c>
      <c r="D252" cm="1">
        <f t="array" aca="1" ref="D252" ca="1">INDIRECT(ADDRESS(myRAND(1,D$2,D$8:D$9)+5,D$1))</f>
        <v>1</v>
      </c>
      <c r="E252" cm="1">
        <f t="array" aca="1" ref="E252" ca="1">INDIRECT(ADDRESS(myRAND(1,E$2,E$8:E$9)+5,E$1))</f>
        <v>0</v>
      </c>
      <c r="F252" cm="1">
        <f t="array" aca="1" ref="F252" ca="1">INDIRECT(ADDRESS(myRAND(1,F$2,F$8:F$9)+5,F$1))</f>
        <v>0</v>
      </c>
      <c r="G252" cm="1">
        <f t="array" aca="1" ref="G252" ca="1">INDIRECT(ADDRESS(myRAND(1,G$2,G$8:G$9)+5,G$1))</f>
        <v>1</v>
      </c>
      <c r="H252" cm="1">
        <f t="array" aca="1" ref="H252" ca="1">INDIRECT(ADDRESS(myRAND(1,H$2,H$8:H$9)+5,H$1))</f>
        <v>0</v>
      </c>
      <c r="I252" cm="1">
        <f t="array" aca="1" ref="I252" ca="1">INDIRECT(ADDRESS(myRAND(1,I$2,I$8:I$9)+5,I$1))</f>
        <v>0</v>
      </c>
      <c r="J252">
        <f t="shared" ca="1" si="33"/>
        <v>15</v>
      </c>
      <c r="K252">
        <f t="shared" ca="1" si="33"/>
        <v>189</v>
      </c>
      <c r="L252" s="3">
        <f t="shared" ca="1" si="35"/>
        <v>2</v>
      </c>
      <c r="M252" s="13">
        <f t="shared" ca="1" si="36"/>
        <v>0.25540308417252405</v>
      </c>
      <c r="N252">
        <f t="shared" ca="1" si="37"/>
        <v>-1.07</v>
      </c>
      <c r="O252">
        <f t="shared" ca="1" si="38"/>
        <v>0</v>
      </c>
      <c r="P252">
        <f t="shared" ca="1" si="39"/>
        <v>0</v>
      </c>
      <c r="Q252">
        <f t="shared" ca="1" si="40"/>
        <v>1</v>
      </c>
      <c r="R252">
        <f t="shared" ca="1" si="41"/>
        <v>0</v>
      </c>
      <c r="S252">
        <f t="shared" ca="1" si="42"/>
        <v>1</v>
      </c>
      <c r="T252" s="17">
        <f t="shared" ca="1" si="43"/>
        <v>2.7138095238095241</v>
      </c>
    </row>
    <row r="253" spans="2:20" x14ac:dyDescent="0.3">
      <c r="B253">
        <f t="shared" ca="1" si="34"/>
        <v>50</v>
      </c>
      <c r="C253" cm="1">
        <f t="array" aca="1" ref="C253" ca="1">INDIRECT(ADDRESS(myRAND(1,C$2,C$8:C$9)+5,C$1))</f>
        <v>1</v>
      </c>
      <c r="D253" cm="1">
        <f t="array" aca="1" ref="D253" ca="1">INDIRECT(ADDRESS(myRAND(1,D$2,D$8:D$9)+5,D$1))</f>
        <v>1</v>
      </c>
      <c r="E253" cm="1">
        <f t="array" aca="1" ref="E253" ca="1">INDIRECT(ADDRESS(myRAND(1,E$2,E$8:E$9)+5,E$1))</f>
        <v>0</v>
      </c>
      <c r="F253" cm="1">
        <f t="array" aca="1" ref="F253" ca="1">INDIRECT(ADDRESS(myRAND(1,F$2,F$8:F$9)+5,F$1))</f>
        <v>0</v>
      </c>
      <c r="G253" cm="1">
        <f t="array" aca="1" ref="G253" ca="1">INDIRECT(ADDRESS(myRAND(1,G$2,G$8:G$9)+5,G$1))</f>
        <v>0</v>
      </c>
      <c r="H253" cm="1">
        <f t="array" aca="1" ref="H253" ca="1">INDIRECT(ADDRESS(myRAND(1,H$2,H$8:H$9)+5,H$1))</f>
        <v>0</v>
      </c>
      <c r="I253" cm="1">
        <f t="array" aca="1" ref="I253" ca="1">INDIRECT(ADDRESS(myRAND(1,I$2,I$8:I$9)+5,I$1))</f>
        <v>1</v>
      </c>
      <c r="J253">
        <f t="shared" ca="1" si="33"/>
        <v>7</v>
      </c>
      <c r="K253">
        <f t="shared" ca="1" si="33"/>
        <v>214</v>
      </c>
      <c r="L253" s="3">
        <f t="shared" ca="1" si="35"/>
        <v>3</v>
      </c>
      <c r="M253" s="13">
        <f t="shared" ca="1" si="36"/>
        <v>0.26308410416657979</v>
      </c>
      <c r="N253">
        <f t="shared" ca="1" si="37"/>
        <v>-1.03</v>
      </c>
      <c r="O253">
        <f t="shared" ca="1" si="38"/>
        <v>0</v>
      </c>
      <c r="P253">
        <f t="shared" ca="1" si="39"/>
        <v>0</v>
      </c>
      <c r="Q253">
        <f t="shared" ca="1" si="40"/>
        <v>1</v>
      </c>
      <c r="R253">
        <f t="shared" ca="1" si="41"/>
        <v>0</v>
      </c>
      <c r="S253">
        <f t="shared" ca="1" si="42"/>
        <v>1</v>
      </c>
      <c r="T253" s="17">
        <f t="shared" ca="1" si="43"/>
        <v>5.3095238095238102</v>
      </c>
    </row>
    <row r="254" spans="2:20" x14ac:dyDescent="0.3">
      <c r="B254">
        <f t="shared" ca="1" si="34"/>
        <v>37</v>
      </c>
      <c r="C254" cm="1">
        <f t="array" aca="1" ref="C254" ca="1">INDIRECT(ADDRESS(myRAND(1,C$2,C$8:C$9)+5,C$1))</f>
        <v>1</v>
      </c>
      <c r="D254" cm="1">
        <f t="array" aca="1" ref="D254" ca="1">INDIRECT(ADDRESS(myRAND(1,D$2,D$8:D$9)+5,D$1))</f>
        <v>0</v>
      </c>
      <c r="E254" cm="1">
        <f t="array" aca="1" ref="E254" ca="1">INDIRECT(ADDRESS(myRAND(1,E$2,E$8:E$9)+5,E$1))</f>
        <v>0</v>
      </c>
      <c r="F254" cm="1">
        <f t="array" aca="1" ref="F254" ca="1">INDIRECT(ADDRESS(myRAND(1,F$2,F$8:F$9)+5,F$1))</f>
        <v>1</v>
      </c>
      <c r="G254" cm="1">
        <f t="array" aca="1" ref="G254" ca="1">INDIRECT(ADDRESS(myRAND(1,G$2,G$8:G$9)+5,G$1))</f>
        <v>0</v>
      </c>
      <c r="H254" cm="1">
        <f t="array" aca="1" ref="H254" ca="1">INDIRECT(ADDRESS(myRAND(1,H$2,H$8:H$9)+5,H$1))</f>
        <v>1</v>
      </c>
      <c r="I254" cm="1">
        <f t="array" aca="1" ref="I254" ca="1">INDIRECT(ADDRESS(myRAND(1,I$2,I$8:I$9)+5,I$1))</f>
        <v>1</v>
      </c>
      <c r="J254">
        <f t="shared" ca="1" si="33"/>
        <v>22</v>
      </c>
      <c r="K254">
        <f t="shared" ca="1" si="33"/>
        <v>183</v>
      </c>
      <c r="L254" s="3">
        <f t="shared" ca="1" si="35"/>
        <v>3</v>
      </c>
      <c r="M254" s="13">
        <f t="shared" ca="1" si="36"/>
        <v>0.1750862681640398</v>
      </c>
      <c r="N254">
        <f t="shared" ca="1" si="37"/>
        <v>-1.55</v>
      </c>
      <c r="O254">
        <f t="shared" ca="1" si="38"/>
        <v>0</v>
      </c>
      <c r="P254">
        <f t="shared" ca="1" si="39"/>
        <v>0</v>
      </c>
      <c r="Q254">
        <f t="shared" ca="1" si="40"/>
        <v>1</v>
      </c>
      <c r="R254">
        <f t="shared" ca="1" si="41"/>
        <v>0</v>
      </c>
      <c r="S254">
        <f t="shared" ca="1" si="42"/>
        <v>2</v>
      </c>
      <c r="T254" s="17">
        <f t="shared" ca="1" si="43"/>
        <v>6.0319047619047614</v>
      </c>
    </row>
    <row r="255" spans="2:20" x14ac:dyDescent="0.3">
      <c r="B255">
        <f t="shared" ca="1" si="34"/>
        <v>42</v>
      </c>
      <c r="C255" cm="1">
        <f t="array" aca="1" ref="C255" ca="1">INDIRECT(ADDRESS(myRAND(1,C$2,C$8:C$9)+5,C$1))</f>
        <v>1</v>
      </c>
      <c r="D255" cm="1">
        <f t="array" aca="1" ref="D255" ca="1">INDIRECT(ADDRESS(myRAND(1,D$2,D$8:D$9)+5,D$1))</f>
        <v>0</v>
      </c>
      <c r="E255" cm="1">
        <f t="array" aca="1" ref="E255" ca="1">INDIRECT(ADDRESS(myRAND(1,E$2,E$8:E$9)+5,E$1))</f>
        <v>1</v>
      </c>
      <c r="F255" cm="1">
        <f t="array" aca="1" ref="F255" ca="1">INDIRECT(ADDRESS(myRAND(1,F$2,F$8:F$9)+5,F$1))</f>
        <v>0</v>
      </c>
      <c r="G255" cm="1">
        <f t="array" aca="1" ref="G255" ca="1">INDIRECT(ADDRESS(myRAND(1,G$2,G$8:G$9)+5,G$1))</f>
        <v>1</v>
      </c>
      <c r="H255" cm="1">
        <f t="array" aca="1" ref="H255" ca="1">INDIRECT(ADDRESS(myRAND(1,H$2,H$8:H$9)+5,H$1))</f>
        <v>0</v>
      </c>
      <c r="I255" cm="1">
        <f t="array" aca="1" ref="I255" ca="1">INDIRECT(ADDRESS(myRAND(1,I$2,I$8:I$9)+5,I$1))</f>
        <v>0</v>
      </c>
      <c r="J255">
        <f t="shared" ca="1" si="33"/>
        <v>13</v>
      </c>
      <c r="K255">
        <f t="shared" ca="1" si="33"/>
        <v>212</v>
      </c>
      <c r="L255" s="3">
        <f t="shared" ca="1" si="35"/>
        <v>2</v>
      </c>
      <c r="M255" s="13">
        <f t="shared" ca="1" si="36"/>
        <v>0.20587037180094728</v>
      </c>
      <c r="N255">
        <f t="shared" ca="1" si="37"/>
        <v>-1.3500000000000003</v>
      </c>
      <c r="O255">
        <f t="shared" ca="1" si="38"/>
        <v>0</v>
      </c>
      <c r="P255">
        <f t="shared" ca="1" si="39"/>
        <v>0</v>
      </c>
      <c r="Q255">
        <f t="shared" ca="1" si="40"/>
        <v>1</v>
      </c>
      <c r="R255">
        <f t="shared" ca="1" si="41"/>
        <v>0</v>
      </c>
      <c r="S255">
        <f t="shared" ca="1" si="42"/>
        <v>1</v>
      </c>
      <c r="T255" s="17">
        <f t="shared" ca="1" si="43"/>
        <v>2.62</v>
      </c>
    </row>
    <row r="256" spans="2:20" x14ac:dyDescent="0.3">
      <c r="B256">
        <f t="shared" ca="1" si="34"/>
        <v>55</v>
      </c>
      <c r="C256" cm="1">
        <f t="array" aca="1" ref="C256" ca="1">INDIRECT(ADDRESS(myRAND(1,C$2,C$8:C$9)+5,C$1))</f>
        <v>0</v>
      </c>
      <c r="D256" cm="1">
        <f t="array" aca="1" ref="D256" ca="1">INDIRECT(ADDRESS(myRAND(1,D$2,D$8:D$9)+5,D$1))</f>
        <v>0</v>
      </c>
      <c r="E256" cm="1">
        <f t="array" aca="1" ref="E256" ca="1">INDIRECT(ADDRESS(myRAND(1,E$2,E$8:E$9)+5,E$1))</f>
        <v>0</v>
      </c>
      <c r="F256" cm="1">
        <f t="array" aca="1" ref="F256" ca="1">INDIRECT(ADDRESS(myRAND(1,F$2,F$8:F$9)+5,F$1))</f>
        <v>1</v>
      </c>
      <c r="G256" cm="1">
        <f t="array" aca="1" ref="G256" ca="1">INDIRECT(ADDRESS(myRAND(1,G$2,G$8:G$9)+5,G$1))</f>
        <v>1</v>
      </c>
      <c r="H256" cm="1">
        <f t="array" aca="1" ref="H256" ca="1">INDIRECT(ADDRESS(myRAND(1,H$2,H$8:H$9)+5,H$1))</f>
        <v>0</v>
      </c>
      <c r="I256" cm="1">
        <f t="array" aca="1" ref="I256" ca="1">INDIRECT(ADDRESS(myRAND(1,I$2,I$8:I$9)+5,I$1))</f>
        <v>1</v>
      </c>
      <c r="J256">
        <f t="shared" ca="1" si="33"/>
        <v>15</v>
      </c>
      <c r="K256">
        <f t="shared" ca="1" si="33"/>
        <v>198</v>
      </c>
      <c r="L256" s="3">
        <f t="shared" ca="1" si="35"/>
        <v>1</v>
      </c>
      <c r="M256" s="13">
        <f t="shared" ca="1" si="36"/>
        <v>0.10247703344409737</v>
      </c>
      <c r="N256">
        <f t="shared" ca="1" si="37"/>
        <v>-2.17</v>
      </c>
      <c r="O256">
        <f t="shared" ca="1" si="38"/>
        <v>0</v>
      </c>
      <c r="P256">
        <f t="shared" ca="1" si="39"/>
        <v>0</v>
      </c>
      <c r="Q256">
        <f t="shared" ca="1" si="40"/>
        <v>1</v>
      </c>
      <c r="R256">
        <f t="shared" ca="1" si="41"/>
        <v>0</v>
      </c>
      <c r="S256">
        <f t="shared" ca="1" si="42"/>
        <v>2</v>
      </c>
      <c r="T256" s="17">
        <f t="shared" ca="1" si="43"/>
        <v>4.8166666666666664</v>
      </c>
    </row>
    <row r="257" spans="2:20" x14ac:dyDescent="0.3">
      <c r="B257">
        <f t="shared" ca="1" si="34"/>
        <v>37</v>
      </c>
      <c r="C257" cm="1">
        <f t="array" aca="1" ref="C257" ca="1">INDIRECT(ADDRESS(myRAND(1,C$2,C$8:C$9)+5,C$1))</f>
        <v>0</v>
      </c>
      <c r="D257" cm="1">
        <f t="array" aca="1" ref="D257" ca="1">INDIRECT(ADDRESS(myRAND(1,D$2,D$8:D$9)+5,D$1))</f>
        <v>1</v>
      </c>
      <c r="E257" cm="1">
        <f t="array" aca="1" ref="E257" ca="1">INDIRECT(ADDRESS(myRAND(1,E$2,E$8:E$9)+5,E$1))</f>
        <v>1</v>
      </c>
      <c r="F257" cm="1">
        <f t="array" aca="1" ref="F257" ca="1">INDIRECT(ADDRESS(myRAND(1,F$2,F$8:F$9)+5,F$1))</f>
        <v>0</v>
      </c>
      <c r="G257" cm="1">
        <f t="array" aca="1" ref="G257" ca="1">INDIRECT(ADDRESS(myRAND(1,G$2,G$8:G$9)+5,G$1))</f>
        <v>0</v>
      </c>
      <c r="H257" cm="1">
        <f t="array" aca="1" ref="H257" ca="1">INDIRECT(ADDRESS(myRAND(1,H$2,H$8:H$9)+5,H$1))</f>
        <v>0</v>
      </c>
      <c r="I257" cm="1">
        <f t="array" aca="1" ref="I257" ca="1">INDIRECT(ADDRESS(myRAND(1,I$2,I$8:I$9)+5,I$1))</f>
        <v>1</v>
      </c>
      <c r="J257">
        <f t="shared" ca="1" si="33"/>
        <v>22</v>
      </c>
      <c r="K257">
        <f t="shared" ca="1" si="33"/>
        <v>185</v>
      </c>
      <c r="L257" s="3">
        <f t="shared" ca="1" si="35"/>
        <v>3</v>
      </c>
      <c r="M257" s="13">
        <f t="shared" ca="1" si="36"/>
        <v>0.27091207765069347</v>
      </c>
      <c r="N257">
        <f t="shared" ca="1" si="37"/>
        <v>-0.99000000000000021</v>
      </c>
      <c r="O257">
        <f t="shared" ca="1" si="38"/>
        <v>0</v>
      </c>
      <c r="P257">
        <f t="shared" ca="1" si="39"/>
        <v>1</v>
      </c>
      <c r="Q257">
        <f t="shared" ca="1" si="40"/>
        <v>0</v>
      </c>
      <c r="R257">
        <f t="shared" ca="1" si="41"/>
        <v>0</v>
      </c>
      <c r="S257">
        <f t="shared" ca="1" si="42"/>
        <v>1</v>
      </c>
      <c r="T257" s="17">
        <f t="shared" ca="1" si="43"/>
        <v>5.0414285714285718</v>
      </c>
    </row>
    <row r="258" spans="2:20" x14ac:dyDescent="0.3">
      <c r="B258">
        <f t="shared" ca="1" si="34"/>
        <v>40</v>
      </c>
      <c r="C258" cm="1">
        <f t="array" aca="1" ref="C258" ca="1">INDIRECT(ADDRESS(myRAND(1,C$2,C$8:C$9)+5,C$1))</f>
        <v>1</v>
      </c>
      <c r="D258" cm="1">
        <f t="array" aca="1" ref="D258" ca="1">INDIRECT(ADDRESS(myRAND(1,D$2,D$8:D$9)+5,D$1))</f>
        <v>1</v>
      </c>
      <c r="E258" cm="1">
        <f t="array" aca="1" ref="E258" ca="1">INDIRECT(ADDRESS(myRAND(1,E$2,E$8:E$9)+5,E$1))</f>
        <v>0</v>
      </c>
      <c r="F258" cm="1">
        <f t="array" aca="1" ref="F258" ca="1">INDIRECT(ADDRESS(myRAND(1,F$2,F$8:F$9)+5,F$1))</f>
        <v>1</v>
      </c>
      <c r="G258" cm="1">
        <f t="array" aca="1" ref="G258" ca="1">INDIRECT(ADDRESS(myRAND(1,G$2,G$8:G$9)+5,G$1))</f>
        <v>1</v>
      </c>
      <c r="H258" cm="1">
        <f t="array" aca="1" ref="H258" ca="1">INDIRECT(ADDRESS(myRAND(1,H$2,H$8:H$9)+5,H$1))</f>
        <v>0</v>
      </c>
      <c r="I258" cm="1">
        <f t="array" aca="1" ref="I258" ca="1">INDIRECT(ADDRESS(myRAND(1,I$2,I$8:I$9)+5,I$1))</f>
        <v>0</v>
      </c>
      <c r="J258">
        <f t="shared" ca="1" si="33"/>
        <v>13</v>
      </c>
      <c r="K258">
        <f t="shared" ca="1" si="33"/>
        <v>184</v>
      </c>
      <c r="L258" s="3">
        <f t="shared" ca="1" si="35"/>
        <v>3</v>
      </c>
      <c r="M258" s="13">
        <f t="shared" ca="1" si="36"/>
        <v>0.61538375639118215</v>
      </c>
      <c r="N258">
        <f t="shared" ca="1" si="37"/>
        <v>0.47</v>
      </c>
      <c r="O258">
        <f t="shared" ca="1" si="38"/>
        <v>0</v>
      </c>
      <c r="P258">
        <f t="shared" ca="1" si="39"/>
        <v>1</v>
      </c>
      <c r="Q258">
        <f t="shared" ca="1" si="40"/>
        <v>0</v>
      </c>
      <c r="R258">
        <f t="shared" ca="1" si="41"/>
        <v>0</v>
      </c>
      <c r="S258">
        <f t="shared" ca="1" si="42"/>
        <v>1</v>
      </c>
      <c r="T258" s="17">
        <f t="shared" ca="1" si="43"/>
        <v>2.4666666666666668</v>
      </c>
    </row>
    <row r="259" spans="2:20" x14ac:dyDescent="0.3">
      <c r="B259">
        <f t="shared" ca="1" si="34"/>
        <v>62</v>
      </c>
      <c r="C259" cm="1">
        <f t="array" aca="1" ref="C259" ca="1">INDIRECT(ADDRESS(myRAND(1,C$2,C$8:C$9)+5,C$1))</f>
        <v>1</v>
      </c>
      <c r="D259" cm="1">
        <f t="array" aca="1" ref="D259" ca="1">INDIRECT(ADDRESS(myRAND(1,D$2,D$8:D$9)+5,D$1))</f>
        <v>0</v>
      </c>
      <c r="E259" cm="1">
        <f t="array" aca="1" ref="E259" ca="1">INDIRECT(ADDRESS(myRAND(1,E$2,E$8:E$9)+5,E$1))</f>
        <v>0</v>
      </c>
      <c r="F259" cm="1">
        <f t="array" aca="1" ref="F259" ca="1">INDIRECT(ADDRESS(myRAND(1,F$2,F$8:F$9)+5,F$1))</f>
        <v>1</v>
      </c>
      <c r="G259" cm="1">
        <f t="array" aca="1" ref="G259" ca="1">INDIRECT(ADDRESS(myRAND(1,G$2,G$8:G$9)+5,G$1))</f>
        <v>0</v>
      </c>
      <c r="H259" cm="1">
        <f t="array" aca="1" ref="H259" ca="1">INDIRECT(ADDRESS(myRAND(1,H$2,H$8:H$9)+5,H$1))</f>
        <v>1</v>
      </c>
      <c r="I259" cm="1">
        <f t="array" aca="1" ref="I259" ca="1">INDIRECT(ADDRESS(myRAND(1,I$2,I$8:I$9)+5,I$1))</f>
        <v>0</v>
      </c>
      <c r="J259">
        <f t="shared" ca="1" si="33"/>
        <v>15</v>
      </c>
      <c r="K259">
        <f t="shared" ca="1" si="33"/>
        <v>224</v>
      </c>
      <c r="L259" s="3">
        <f t="shared" ca="1" si="35"/>
        <v>3</v>
      </c>
      <c r="M259" s="13">
        <f t="shared" ca="1" si="36"/>
        <v>0.36586440898919936</v>
      </c>
      <c r="N259">
        <f t="shared" ca="1" si="37"/>
        <v>-0.55000000000000004</v>
      </c>
      <c r="O259">
        <f t="shared" ca="1" si="38"/>
        <v>0</v>
      </c>
      <c r="P259">
        <f t="shared" ca="1" si="39"/>
        <v>0</v>
      </c>
      <c r="Q259">
        <f t="shared" ca="1" si="40"/>
        <v>1</v>
      </c>
      <c r="R259">
        <f t="shared" ca="1" si="41"/>
        <v>0</v>
      </c>
      <c r="S259">
        <f t="shared" ca="1" si="42"/>
        <v>1</v>
      </c>
      <c r="T259" s="17">
        <f t="shared" ca="1" si="43"/>
        <v>3.0104761904761905</v>
      </c>
    </row>
    <row r="260" spans="2:20" x14ac:dyDescent="0.3">
      <c r="B260">
        <f t="shared" ca="1" si="34"/>
        <v>50</v>
      </c>
      <c r="C260" cm="1">
        <f t="array" aca="1" ref="C260" ca="1">INDIRECT(ADDRESS(myRAND(1,C$2,C$8:C$9)+5,C$1))</f>
        <v>1</v>
      </c>
      <c r="D260" cm="1">
        <f t="array" aca="1" ref="D260" ca="1">INDIRECT(ADDRESS(myRAND(1,D$2,D$8:D$9)+5,D$1))</f>
        <v>0</v>
      </c>
      <c r="E260" cm="1">
        <f t="array" aca="1" ref="E260" ca="1">INDIRECT(ADDRESS(myRAND(1,E$2,E$8:E$9)+5,E$1))</f>
        <v>1</v>
      </c>
      <c r="F260" cm="1">
        <f t="array" aca="1" ref="F260" ca="1">INDIRECT(ADDRESS(myRAND(1,F$2,F$8:F$9)+5,F$1))</f>
        <v>1</v>
      </c>
      <c r="G260" cm="1">
        <f t="array" aca="1" ref="G260" ca="1">INDIRECT(ADDRESS(myRAND(1,G$2,G$8:G$9)+5,G$1))</f>
        <v>0</v>
      </c>
      <c r="H260" cm="1">
        <f t="array" aca="1" ref="H260" ca="1">INDIRECT(ADDRESS(myRAND(1,H$2,H$8:H$9)+5,H$1))</f>
        <v>0</v>
      </c>
      <c r="I260" cm="1">
        <f t="array" aca="1" ref="I260" ca="1">INDIRECT(ADDRESS(myRAND(1,I$2,I$8:I$9)+5,I$1))</f>
        <v>0</v>
      </c>
      <c r="J260">
        <f t="shared" ca="1" si="33"/>
        <v>18</v>
      </c>
      <c r="K260">
        <f t="shared" ca="1" si="33"/>
        <v>216</v>
      </c>
      <c r="L260" s="3">
        <f t="shared" ca="1" si="35"/>
        <v>3</v>
      </c>
      <c r="M260" s="13">
        <f t="shared" ca="1" si="36"/>
        <v>0.70474569799809106</v>
      </c>
      <c r="N260">
        <f t="shared" ca="1" si="37"/>
        <v>0.86999999999999988</v>
      </c>
      <c r="O260">
        <f t="shared" ca="1" si="38"/>
        <v>0</v>
      </c>
      <c r="P260">
        <f t="shared" ca="1" si="39"/>
        <v>1</v>
      </c>
      <c r="Q260">
        <f t="shared" ca="1" si="40"/>
        <v>0</v>
      </c>
      <c r="R260">
        <f t="shared" ca="1" si="41"/>
        <v>0</v>
      </c>
      <c r="S260">
        <f t="shared" ca="1" si="42"/>
        <v>0</v>
      </c>
      <c r="T260" s="17">
        <f t="shared" ca="1" si="43"/>
        <v>3.0523809523809522</v>
      </c>
    </row>
    <row r="261" spans="2:20" x14ac:dyDescent="0.3">
      <c r="B261">
        <f t="shared" ca="1" si="34"/>
        <v>45</v>
      </c>
      <c r="C261" cm="1">
        <f t="array" aca="1" ref="C261" ca="1">INDIRECT(ADDRESS(myRAND(1,C$2,C$8:C$9)+5,C$1))</f>
        <v>1</v>
      </c>
      <c r="D261" cm="1">
        <f t="array" aca="1" ref="D261" ca="1">INDIRECT(ADDRESS(myRAND(1,D$2,D$8:D$9)+5,D$1))</f>
        <v>1</v>
      </c>
      <c r="E261" cm="1">
        <f t="array" aca="1" ref="E261" ca="1">INDIRECT(ADDRESS(myRAND(1,E$2,E$8:E$9)+5,E$1))</f>
        <v>1</v>
      </c>
      <c r="F261" cm="1">
        <f t="array" aca="1" ref="F261" ca="1">INDIRECT(ADDRESS(myRAND(1,F$2,F$8:F$9)+5,F$1))</f>
        <v>1</v>
      </c>
      <c r="G261" cm="1">
        <f t="array" aca="1" ref="G261" ca="1">INDIRECT(ADDRESS(myRAND(1,G$2,G$8:G$9)+5,G$1))</f>
        <v>0</v>
      </c>
      <c r="H261" cm="1">
        <f t="array" aca="1" ref="H261" ca="1">INDIRECT(ADDRESS(myRAND(1,H$2,H$8:H$9)+5,H$1))</f>
        <v>0</v>
      </c>
      <c r="I261" cm="1">
        <f t="array" aca="1" ref="I261" ca="1">INDIRECT(ADDRESS(myRAND(1,I$2,I$8:I$9)+5,I$1))</f>
        <v>1</v>
      </c>
      <c r="J261">
        <f t="shared" ca="1" si="33"/>
        <v>17</v>
      </c>
      <c r="K261">
        <f t="shared" ca="1" si="33"/>
        <v>232</v>
      </c>
      <c r="L261" s="3">
        <f t="shared" ca="1" si="35"/>
        <v>3</v>
      </c>
      <c r="M261" s="13">
        <f t="shared" ca="1" si="36"/>
        <v>0.35663485430559821</v>
      </c>
      <c r="N261">
        <f t="shared" ca="1" si="37"/>
        <v>-0.59000000000000019</v>
      </c>
      <c r="O261">
        <f t="shared" ca="1" si="38"/>
        <v>1</v>
      </c>
      <c r="P261">
        <f t="shared" ca="1" si="39"/>
        <v>0</v>
      </c>
      <c r="Q261">
        <f t="shared" ca="1" si="40"/>
        <v>0</v>
      </c>
      <c r="R261">
        <f t="shared" ca="1" si="41"/>
        <v>0</v>
      </c>
      <c r="S261">
        <f t="shared" ca="1" si="42"/>
        <v>1</v>
      </c>
      <c r="T261" s="17">
        <f t="shared" ca="1" si="43"/>
        <v>6.0119047619047619</v>
      </c>
    </row>
    <row r="262" spans="2:20" x14ac:dyDescent="0.3">
      <c r="B262">
        <f t="shared" ca="1" si="34"/>
        <v>50</v>
      </c>
      <c r="C262" cm="1">
        <f t="array" aca="1" ref="C262" ca="1">INDIRECT(ADDRESS(myRAND(1,C$2,C$8:C$9)+5,C$1))</f>
        <v>1</v>
      </c>
      <c r="D262" cm="1">
        <f t="array" aca="1" ref="D262" ca="1">INDIRECT(ADDRESS(myRAND(1,D$2,D$8:D$9)+5,D$1))</f>
        <v>0</v>
      </c>
      <c r="E262" cm="1">
        <f t="array" aca="1" ref="E262" ca="1">INDIRECT(ADDRESS(myRAND(1,E$2,E$8:E$9)+5,E$1))</f>
        <v>1</v>
      </c>
      <c r="F262" cm="1">
        <f t="array" aca="1" ref="F262" ca="1">INDIRECT(ADDRESS(myRAND(1,F$2,F$8:F$9)+5,F$1))</f>
        <v>0</v>
      </c>
      <c r="G262" cm="1">
        <f t="array" aca="1" ref="G262" ca="1">INDIRECT(ADDRESS(myRAND(1,G$2,G$8:G$9)+5,G$1))</f>
        <v>0</v>
      </c>
      <c r="H262" cm="1">
        <f t="array" aca="1" ref="H262" ca="1">INDIRECT(ADDRESS(myRAND(1,H$2,H$8:H$9)+5,H$1))</f>
        <v>1</v>
      </c>
      <c r="I262" cm="1">
        <f t="array" aca="1" ref="I262" ca="1">INDIRECT(ADDRESS(myRAND(1,I$2,I$8:I$9)+5,I$1))</f>
        <v>1</v>
      </c>
      <c r="J262">
        <f t="shared" ca="1" si="33"/>
        <v>17</v>
      </c>
      <c r="K262">
        <f t="shared" ca="1" si="33"/>
        <v>195</v>
      </c>
      <c r="L262" s="3">
        <f t="shared" ca="1" si="35"/>
        <v>2</v>
      </c>
      <c r="M262" s="13">
        <f t="shared" ca="1" si="36"/>
        <v>0.26308410416657979</v>
      </c>
      <c r="N262">
        <f t="shared" ca="1" si="37"/>
        <v>-1.03</v>
      </c>
      <c r="O262">
        <f t="shared" ca="1" si="38"/>
        <v>0</v>
      </c>
      <c r="P262">
        <f t="shared" ca="1" si="39"/>
        <v>0</v>
      </c>
      <c r="Q262">
        <f t="shared" ca="1" si="40"/>
        <v>1</v>
      </c>
      <c r="R262">
        <f t="shared" ca="1" si="41"/>
        <v>0</v>
      </c>
      <c r="S262">
        <f t="shared" ca="1" si="42"/>
        <v>2</v>
      </c>
      <c r="T262" s="17">
        <f t="shared" ca="1" si="43"/>
        <v>5.8857142857142861</v>
      </c>
    </row>
    <row r="263" spans="2:20" x14ac:dyDescent="0.3">
      <c r="B263">
        <f t="shared" ca="1" si="34"/>
        <v>38</v>
      </c>
      <c r="C263" cm="1">
        <f t="array" aca="1" ref="C263" ca="1">INDIRECT(ADDRESS(myRAND(1,C$2,C$8:C$9)+5,C$1))</f>
        <v>1</v>
      </c>
      <c r="D263" cm="1">
        <f t="array" aca="1" ref="D263" ca="1">INDIRECT(ADDRESS(myRAND(1,D$2,D$8:D$9)+5,D$1))</f>
        <v>0</v>
      </c>
      <c r="E263" cm="1">
        <f t="array" aca="1" ref="E263" ca="1">INDIRECT(ADDRESS(myRAND(1,E$2,E$8:E$9)+5,E$1))</f>
        <v>0</v>
      </c>
      <c r="F263" cm="1">
        <f t="array" aca="1" ref="F263" ca="1">INDIRECT(ADDRESS(myRAND(1,F$2,F$8:F$9)+5,F$1))</f>
        <v>1</v>
      </c>
      <c r="G263" cm="1">
        <f t="array" aca="1" ref="G263" ca="1">INDIRECT(ADDRESS(myRAND(1,G$2,G$8:G$9)+5,G$1))</f>
        <v>1</v>
      </c>
      <c r="H263" cm="1">
        <f t="array" aca="1" ref="H263" ca="1">INDIRECT(ADDRESS(myRAND(1,H$2,H$8:H$9)+5,H$1))</f>
        <v>0</v>
      </c>
      <c r="I263" cm="1">
        <f t="array" aca="1" ref="I263" ca="1">INDIRECT(ADDRESS(myRAND(1,I$2,I$8:I$9)+5,I$1))</f>
        <v>0</v>
      </c>
      <c r="J263">
        <f t="shared" ca="1" si="33"/>
        <v>22</v>
      </c>
      <c r="K263">
        <f t="shared" ca="1" si="33"/>
        <v>220</v>
      </c>
      <c r="L263" s="3">
        <f t="shared" ca="1" si="35"/>
        <v>2</v>
      </c>
      <c r="M263" s="13">
        <f t="shared" ca="1" si="36"/>
        <v>0.18093879315214201</v>
      </c>
      <c r="N263">
        <f t="shared" ca="1" si="37"/>
        <v>-1.51</v>
      </c>
      <c r="O263">
        <f t="shared" ca="1" si="38"/>
        <v>0</v>
      </c>
      <c r="P263">
        <f t="shared" ca="1" si="39"/>
        <v>0</v>
      </c>
      <c r="Q263">
        <f t="shared" ca="1" si="40"/>
        <v>1</v>
      </c>
      <c r="R263">
        <f t="shared" ca="1" si="41"/>
        <v>0</v>
      </c>
      <c r="S263">
        <f t="shared" ca="1" si="42"/>
        <v>1</v>
      </c>
      <c r="T263" s="17">
        <f t="shared" ca="1" si="43"/>
        <v>3.2180952380952377</v>
      </c>
    </row>
    <row r="264" spans="2:20" x14ac:dyDescent="0.3">
      <c r="B264">
        <f t="shared" ca="1" si="34"/>
        <v>53</v>
      </c>
      <c r="C264" cm="1">
        <f t="array" aca="1" ref="C264" ca="1">INDIRECT(ADDRESS(myRAND(1,C$2,C$8:C$9)+5,C$1))</f>
        <v>0</v>
      </c>
      <c r="D264" cm="1">
        <f t="array" aca="1" ref="D264" ca="1">INDIRECT(ADDRESS(myRAND(1,D$2,D$8:D$9)+5,D$1))</f>
        <v>1</v>
      </c>
      <c r="E264" cm="1">
        <f t="array" aca="1" ref="E264" ca="1">INDIRECT(ADDRESS(myRAND(1,E$2,E$8:E$9)+5,E$1))</f>
        <v>0</v>
      </c>
      <c r="F264" cm="1">
        <f t="array" aca="1" ref="F264" ca="1">INDIRECT(ADDRESS(myRAND(1,F$2,F$8:F$9)+5,F$1))</f>
        <v>0</v>
      </c>
      <c r="G264" cm="1">
        <f t="array" aca="1" ref="G264" ca="1">INDIRECT(ADDRESS(myRAND(1,G$2,G$8:G$9)+5,G$1))</f>
        <v>0</v>
      </c>
      <c r="H264" cm="1">
        <f t="array" aca="1" ref="H264" ca="1">INDIRECT(ADDRESS(myRAND(1,H$2,H$8:H$9)+5,H$1))</f>
        <v>0</v>
      </c>
      <c r="I264" cm="1">
        <f t="array" aca="1" ref="I264" ca="1">INDIRECT(ADDRESS(myRAND(1,I$2,I$8:I$9)+5,I$1))</f>
        <v>1</v>
      </c>
      <c r="J264">
        <f t="shared" ca="1" si="33"/>
        <v>11</v>
      </c>
      <c r="K264">
        <f t="shared" ca="1" si="33"/>
        <v>239</v>
      </c>
      <c r="L264" s="3">
        <f t="shared" ca="1" si="35"/>
        <v>1</v>
      </c>
      <c r="M264" s="13">
        <f t="shared" ca="1" si="36"/>
        <v>9.534946489910949E-2</v>
      </c>
      <c r="N264">
        <f t="shared" ca="1" si="37"/>
        <v>-2.25</v>
      </c>
      <c r="O264">
        <f t="shared" ca="1" si="38"/>
        <v>0</v>
      </c>
      <c r="P264">
        <f t="shared" ca="1" si="39"/>
        <v>0</v>
      </c>
      <c r="Q264">
        <f t="shared" ca="1" si="40"/>
        <v>1</v>
      </c>
      <c r="R264">
        <f t="shared" ca="1" si="41"/>
        <v>0</v>
      </c>
      <c r="S264">
        <f t="shared" ca="1" si="42"/>
        <v>1</v>
      </c>
      <c r="T264" s="17">
        <f t="shared" ca="1" si="43"/>
        <v>4.7252380952380957</v>
      </c>
    </row>
    <row r="265" spans="2:20" x14ac:dyDescent="0.3">
      <c r="B265">
        <f t="shared" ca="1" si="34"/>
        <v>61</v>
      </c>
      <c r="C265" cm="1">
        <f t="array" aca="1" ref="C265" ca="1">INDIRECT(ADDRESS(myRAND(1,C$2,C$8:C$9)+5,C$1))</f>
        <v>1</v>
      </c>
      <c r="D265" cm="1">
        <f t="array" aca="1" ref="D265" ca="1">INDIRECT(ADDRESS(myRAND(1,D$2,D$8:D$9)+5,D$1))</f>
        <v>1</v>
      </c>
      <c r="E265" cm="1">
        <f t="array" aca="1" ref="E265" ca="1">INDIRECT(ADDRESS(myRAND(1,E$2,E$8:E$9)+5,E$1))</f>
        <v>0</v>
      </c>
      <c r="F265" cm="1">
        <f t="array" aca="1" ref="F265" ca="1">INDIRECT(ADDRESS(myRAND(1,F$2,F$8:F$9)+5,F$1))</f>
        <v>0</v>
      </c>
      <c r="G265" cm="1">
        <f t="array" aca="1" ref="G265" ca="1">INDIRECT(ADDRESS(myRAND(1,G$2,G$8:G$9)+5,G$1))</f>
        <v>0</v>
      </c>
      <c r="H265" cm="1">
        <f t="array" aca="1" ref="H265" ca="1">INDIRECT(ADDRESS(myRAND(1,H$2,H$8:H$9)+5,H$1))</f>
        <v>1</v>
      </c>
      <c r="I265" cm="1">
        <f t="array" aca="1" ref="I265" ca="1">INDIRECT(ADDRESS(myRAND(1,I$2,I$8:I$9)+5,I$1))</f>
        <v>0</v>
      </c>
      <c r="J265">
        <f t="shared" ca="1" si="33"/>
        <v>10</v>
      </c>
      <c r="K265">
        <f t="shared" ca="1" si="33"/>
        <v>204</v>
      </c>
      <c r="L265" s="3">
        <f t="shared" ca="1" si="35"/>
        <v>3</v>
      </c>
      <c r="M265" s="13">
        <f t="shared" ca="1" si="36"/>
        <v>0.35663485430559827</v>
      </c>
      <c r="N265">
        <f t="shared" ca="1" si="37"/>
        <v>-0.59000000000000008</v>
      </c>
      <c r="O265">
        <f t="shared" ca="1" si="38"/>
        <v>0</v>
      </c>
      <c r="P265">
        <f t="shared" ca="1" si="39"/>
        <v>0</v>
      </c>
      <c r="Q265">
        <f t="shared" ca="1" si="40"/>
        <v>1</v>
      </c>
      <c r="R265">
        <f t="shared" ca="1" si="41"/>
        <v>0</v>
      </c>
      <c r="S265">
        <f t="shared" ca="1" si="42"/>
        <v>1</v>
      </c>
      <c r="T265" s="17">
        <f t="shared" ca="1" si="43"/>
        <v>2.5719047619047619</v>
      </c>
    </row>
    <row r="266" spans="2:20" x14ac:dyDescent="0.3">
      <c r="B266">
        <f t="shared" ca="1" si="34"/>
        <v>45</v>
      </c>
      <c r="C266" cm="1">
        <f t="array" aca="1" ref="C266" ca="1">INDIRECT(ADDRESS(myRAND(1,C$2,C$8:C$9)+5,C$1))</f>
        <v>0</v>
      </c>
      <c r="D266" cm="1">
        <f t="array" aca="1" ref="D266" ca="1">INDIRECT(ADDRESS(myRAND(1,D$2,D$8:D$9)+5,D$1))</f>
        <v>0</v>
      </c>
      <c r="E266" cm="1">
        <f t="array" aca="1" ref="E266" ca="1">INDIRECT(ADDRESS(myRAND(1,E$2,E$8:E$9)+5,E$1))</f>
        <v>1</v>
      </c>
      <c r="F266" cm="1">
        <f t="array" aca="1" ref="F266" ca="1">INDIRECT(ADDRESS(myRAND(1,F$2,F$8:F$9)+5,F$1))</f>
        <v>1</v>
      </c>
      <c r="G266" cm="1">
        <f t="array" aca="1" ref="G266" ca="1">INDIRECT(ADDRESS(myRAND(1,G$2,G$8:G$9)+5,G$1))</f>
        <v>1</v>
      </c>
      <c r="H266" cm="1">
        <f t="array" aca="1" ref="H266" ca="1">INDIRECT(ADDRESS(myRAND(1,H$2,H$8:H$9)+5,H$1))</f>
        <v>1</v>
      </c>
      <c r="I266" cm="1">
        <f t="array" aca="1" ref="I266" ca="1">INDIRECT(ADDRESS(myRAND(1,I$2,I$8:I$9)+5,I$1))</f>
        <v>0</v>
      </c>
      <c r="J266">
        <f t="shared" ca="1" si="33"/>
        <v>14</v>
      </c>
      <c r="K266">
        <f t="shared" ca="1" si="33"/>
        <v>188</v>
      </c>
      <c r="L266" s="3">
        <f t="shared" ca="1" si="35"/>
        <v>3</v>
      </c>
      <c r="M266" s="13">
        <f t="shared" ca="1" si="36"/>
        <v>0.3384968407970475</v>
      </c>
      <c r="N266">
        <f t="shared" ca="1" si="37"/>
        <v>-0.67000000000000037</v>
      </c>
      <c r="O266">
        <f t="shared" ca="1" si="38"/>
        <v>0</v>
      </c>
      <c r="P266">
        <f t="shared" ca="1" si="39"/>
        <v>1</v>
      </c>
      <c r="Q266">
        <f t="shared" ca="1" si="40"/>
        <v>0</v>
      </c>
      <c r="R266">
        <f t="shared" ca="1" si="41"/>
        <v>0</v>
      </c>
      <c r="S266">
        <f t="shared" ca="1" si="42"/>
        <v>2</v>
      </c>
      <c r="T266" s="17">
        <f t="shared" ca="1" si="43"/>
        <v>1.6023809523809525</v>
      </c>
    </row>
    <row r="267" spans="2:20" x14ac:dyDescent="0.3">
      <c r="B267">
        <f t="shared" ca="1" si="34"/>
        <v>48</v>
      </c>
      <c r="C267" cm="1">
        <f t="array" aca="1" ref="C267" ca="1">INDIRECT(ADDRESS(myRAND(1,C$2,C$8:C$9)+5,C$1))</f>
        <v>1</v>
      </c>
      <c r="D267" cm="1">
        <f t="array" aca="1" ref="D267" ca="1">INDIRECT(ADDRESS(myRAND(1,D$2,D$8:D$9)+5,D$1))</f>
        <v>0</v>
      </c>
      <c r="E267" cm="1">
        <f t="array" aca="1" ref="E267" ca="1">INDIRECT(ADDRESS(myRAND(1,E$2,E$8:E$9)+5,E$1))</f>
        <v>1</v>
      </c>
      <c r="F267" cm="1">
        <f t="array" aca="1" ref="F267" ca="1">INDIRECT(ADDRESS(myRAND(1,F$2,F$8:F$9)+5,F$1))</f>
        <v>1</v>
      </c>
      <c r="G267" cm="1">
        <f t="array" aca="1" ref="G267" ca="1">INDIRECT(ADDRESS(myRAND(1,G$2,G$8:G$9)+5,G$1))</f>
        <v>1</v>
      </c>
      <c r="H267" cm="1">
        <f t="array" aca="1" ref="H267" ca="1">INDIRECT(ADDRESS(myRAND(1,H$2,H$8:H$9)+5,H$1))</f>
        <v>1</v>
      </c>
      <c r="I267" cm="1">
        <f t="array" aca="1" ref="I267" ca="1">INDIRECT(ADDRESS(myRAND(1,I$2,I$8:I$9)+5,I$1))</f>
        <v>0</v>
      </c>
      <c r="J267">
        <f t="shared" ca="1" si="33"/>
        <v>14</v>
      </c>
      <c r="K267">
        <f t="shared" ca="1" si="33"/>
        <v>201</v>
      </c>
      <c r="L267" s="3">
        <f t="shared" ca="1" si="35"/>
        <v>3</v>
      </c>
      <c r="M267" s="13">
        <f t="shared" ca="1" si="36"/>
        <v>0.68783133058284041</v>
      </c>
      <c r="N267">
        <f t="shared" ca="1" si="37"/>
        <v>0.78999999999999981</v>
      </c>
      <c r="O267">
        <f t="shared" ca="1" si="38"/>
        <v>0</v>
      </c>
      <c r="P267">
        <f t="shared" ca="1" si="39"/>
        <v>1</v>
      </c>
      <c r="Q267">
        <f t="shared" ca="1" si="40"/>
        <v>0</v>
      </c>
      <c r="R267">
        <f t="shared" ca="1" si="41"/>
        <v>0</v>
      </c>
      <c r="S267">
        <f t="shared" ca="1" si="42"/>
        <v>2</v>
      </c>
      <c r="T267" s="17">
        <f t="shared" ca="1" si="43"/>
        <v>2.6942857142857144</v>
      </c>
    </row>
    <row r="268" spans="2:20" x14ac:dyDescent="0.3">
      <c r="B268">
        <f t="shared" ca="1" si="34"/>
        <v>65</v>
      </c>
      <c r="C268" cm="1">
        <f t="array" aca="1" ref="C268" ca="1">INDIRECT(ADDRESS(myRAND(1,C$2,C$8:C$9)+5,C$1))</f>
        <v>1</v>
      </c>
      <c r="D268" cm="1">
        <f t="array" aca="1" ref="D268" ca="1">INDIRECT(ADDRESS(myRAND(1,D$2,D$8:D$9)+5,D$1))</f>
        <v>0</v>
      </c>
      <c r="E268" cm="1">
        <f t="array" aca="1" ref="E268" ca="1">INDIRECT(ADDRESS(myRAND(1,E$2,E$8:E$9)+5,E$1))</f>
        <v>1</v>
      </c>
      <c r="F268" cm="1">
        <f t="array" aca="1" ref="F268" ca="1">INDIRECT(ADDRESS(myRAND(1,F$2,F$8:F$9)+5,F$1))</f>
        <v>0</v>
      </c>
      <c r="G268" cm="1">
        <f t="array" aca="1" ref="G268" ca="1">INDIRECT(ADDRESS(myRAND(1,G$2,G$8:G$9)+5,G$1))</f>
        <v>0</v>
      </c>
      <c r="H268" cm="1">
        <f t="array" aca="1" ref="H268" ca="1">INDIRECT(ADDRESS(myRAND(1,H$2,H$8:H$9)+5,H$1))</f>
        <v>0</v>
      </c>
      <c r="I268" cm="1">
        <f t="array" aca="1" ref="I268" ca="1">INDIRECT(ADDRESS(myRAND(1,I$2,I$8:I$9)+5,I$1))</f>
        <v>1</v>
      </c>
      <c r="J268">
        <f t="shared" ca="1" si="33"/>
        <v>17</v>
      </c>
      <c r="K268">
        <f t="shared" ca="1" si="33"/>
        <v>185</v>
      </c>
      <c r="L268" s="3">
        <f t="shared" ca="1" si="35"/>
        <v>3</v>
      </c>
      <c r="M268" s="13">
        <f t="shared" ca="1" si="36"/>
        <v>0.3941263315682394</v>
      </c>
      <c r="N268">
        <f t="shared" ca="1" si="37"/>
        <v>-0.42999999999999994</v>
      </c>
      <c r="O268">
        <f t="shared" ca="1" si="38"/>
        <v>0</v>
      </c>
      <c r="P268">
        <f t="shared" ca="1" si="39"/>
        <v>0</v>
      </c>
      <c r="Q268">
        <f t="shared" ca="1" si="40"/>
        <v>1</v>
      </c>
      <c r="R268">
        <f t="shared" ca="1" si="41"/>
        <v>0</v>
      </c>
      <c r="S268">
        <f t="shared" ca="1" si="42"/>
        <v>1</v>
      </c>
      <c r="T268" s="17">
        <f t="shared" ca="1" si="43"/>
        <v>5.9880952380952381</v>
      </c>
    </row>
    <row r="269" spans="2:20" x14ac:dyDescent="0.3">
      <c r="B269">
        <f t="shared" ca="1" si="34"/>
        <v>35</v>
      </c>
      <c r="C269" cm="1">
        <f t="array" aca="1" ref="C269" ca="1">INDIRECT(ADDRESS(myRAND(1,C$2,C$8:C$9)+5,C$1))</f>
        <v>0</v>
      </c>
      <c r="D269" cm="1">
        <f t="array" aca="1" ref="D269" ca="1">INDIRECT(ADDRESS(myRAND(1,D$2,D$8:D$9)+5,D$1))</f>
        <v>0</v>
      </c>
      <c r="E269" cm="1">
        <f t="array" aca="1" ref="E269" ca="1">INDIRECT(ADDRESS(myRAND(1,E$2,E$8:E$9)+5,E$1))</f>
        <v>0</v>
      </c>
      <c r="F269" cm="1">
        <f t="array" aca="1" ref="F269" ca="1">INDIRECT(ADDRESS(myRAND(1,F$2,F$8:F$9)+5,F$1))</f>
        <v>0</v>
      </c>
      <c r="G269" cm="1">
        <f t="array" aca="1" ref="G269" ca="1">INDIRECT(ADDRESS(myRAND(1,G$2,G$8:G$9)+5,G$1))</f>
        <v>0</v>
      </c>
      <c r="H269" cm="1">
        <f t="array" aca="1" ref="H269" ca="1">INDIRECT(ADDRESS(myRAND(1,H$2,H$8:H$9)+5,H$1))</f>
        <v>0</v>
      </c>
      <c r="I269" cm="1">
        <f t="array" aca="1" ref="I269" ca="1">INDIRECT(ADDRESS(myRAND(1,I$2,I$8:I$9)+5,I$1))</f>
        <v>1</v>
      </c>
      <c r="J269">
        <f t="shared" ca="1" si="33"/>
        <v>13</v>
      </c>
      <c r="K269">
        <f t="shared" ca="1" si="33"/>
        <v>233</v>
      </c>
      <c r="L269" s="3">
        <f t="shared" ca="1" si="35"/>
        <v>3</v>
      </c>
      <c r="M269" s="13">
        <f t="shared" ca="1" si="36"/>
        <v>4.8799722998800005E-2</v>
      </c>
      <c r="N269">
        <f t="shared" ca="1" si="37"/>
        <v>-2.9699999999999998</v>
      </c>
      <c r="O269">
        <f t="shared" ca="1" si="38"/>
        <v>0</v>
      </c>
      <c r="P269">
        <f t="shared" ca="1" si="39"/>
        <v>0</v>
      </c>
      <c r="Q269">
        <f t="shared" ca="1" si="40"/>
        <v>0</v>
      </c>
      <c r="R269">
        <f t="shared" ca="1" si="41"/>
        <v>1</v>
      </c>
      <c r="S269">
        <f t="shared" ca="1" si="42"/>
        <v>1</v>
      </c>
      <c r="T269" s="17">
        <f t="shared" ca="1" si="43"/>
        <v>4.6500000000000004</v>
      </c>
    </row>
    <row r="270" spans="2:20" x14ac:dyDescent="0.3">
      <c r="B270">
        <f t="shared" ca="1" si="34"/>
        <v>52</v>
      </c>
      <c r="C270" cm="1">
        <f t="array" aca="1" ref="C270" ca="1">INDIRECT(ADDRESS(myRAND(1,C$2,C$8:C$9)+5,C$1))</f>
        <v>0</v>
      </c>
      <c r="D270" cm="1">
        <f t="array" aca="1" ref="D270" ca="1">INDIRECT(ADDRESS(myRAND(1,D$2,D$8:D$9)+5,D$1))</f>
        <v>0</v>
      </c>
      <c r="E270" cm="1">
        <f t="array" aca="1" ref="E270" ca="1">INDIRECT(ADDRESS(myRAND(1,E$2,E$8:E$9)+5,E$1))</f>
        <v>0</v>
      </c>
      <c r="F270" cm="1">
        <f t="array" aca="1" ref="F270" ca="1">INDIRECT(ADDRESS(myRAND(1,F$2,F$8:F$9)+5,F$1))</f>
        <v>1</v>
      </c>
      <c r="G270" cm="1">
        <f t="array" aca="1" ref="G270" ca="1">INDIRECT(ADDRESS(myRAND(1,G$2,G$8:G$9)+5,G$1))</f>
        <v>0</v>
      </c>
      <c r="H270" cm="1">
        <f t="array" aca="1" ref="H270" ca="1">INDIRECT(ADDRESS(myRAND(1,H$2,H$8:H$9)+5,H$1))</f>
        <v>0</v>
      </c>
      <c r="I270" cm="1">
        <f t="array" aca="1" ref="I270" ca="1">INDIRECT(ADDRESS(myRAND(1,I$2,I$8:I$9)+5,I$1))</f>
        <v>0</v>
      </c>
      <c r="J270">
        <f t="shared" ca="1" si="33"/>
        <v>16</v>
      </c>
      <c r="K270">
        <f t="shared" ca="1" si="33"/>
        <v>210</v>
      </c>
      <c r="L270" s="3">
        <f t="shared" ca="1" si="35"/>
        <v>1</v>
      </c>
      <c r="M270" s="13">
        <f t="shared" ca="1" si="36"/>
        <v>9.195454993100434E-2</v>
      </c>
      <c r="N270">
        <f t="shared" ca="1" si="37"/>
        <v>-2.29</v>
      </c>
      <c r="O270">
        <f t="shared" ca="1" si="38"/>
        <v>0</v>
      </c>
      <c r="P270">
        <f t="shared" ca="1" si="39"/>
        <v>0</v>
      </c>
      <c r="Q270">
        <f t="shared" ca="1" si="40"/>
        <v>1</v>
      </c>
      <c r="R270">
        <f t="shared" ca="1" si="41"/>
        <v>0</v>
      </c>
      <c r="S270">
        <f t="shared" ca="1" si="42"/>
        <v>0</v>
      </c>
      <c r="T270" s="17">
        <f t="shared" ca="1" si="43"/>
        <v>1.9104761904761904</v>
      </c>
    </row>
    <row r="271" spans="2:20" x14ac:dyDescent="0.3">
      <c r="B271">
        <f t="shared" ca="1" si="34"/>
        <v>41</v>
      </c>
      <c r="C271" cm="1">
        <f t="array" aca="1" ref="C271" ca="1">INDIRECT(ADDRESS(myRAND(1,C$2,C$8:C$9)+5,C$1))</f>
        <v>0</v>
      </c>
      <c r="D271" cm="1">
        <f t="array" aca="1" ref="D271" ca="1">INDIRECT(ADDRESS(myRAND(1,D$2,D$8:D$9)+5,D$1))</f>
        <v>0</v>
      </c>
      <c r="E271" cm="1">
        <f t="array" aca="1" ref="E271" ca="1">INDIRECT(ADDRESS(myRAND(1,E$2,E$8:E$9)+5,E$1))</f>
        <v>1</v>
      </c>
      <c r="F271" cm="1">
        <f t="array" aca="1" ref="F271" ca="1">INDIRECT(ADDRESS(myRAND(1,F$2,F$8:F$9)+5,F$1))</f>
        <v>1</v>
      </c>
      <c r="G271" cm="1">
        <f t="array" aca="1" ref="G271" ca="1">INDIRECT(ADDRESS(myRAND(1,G$2,G$8:G$9)+5,G$1))</f>
        <v>0</v>
      </c>
      <c r="H271" cm="1">
        <f t="array" aca="1" ref="H271" ca="1">INDIRECT(ADDRESS(myRAND(1,H$2,H$8:H$9)+5,H$1))</f>
        <v>1</v>
      </c>
      <c r="I271" cm="1">
        <f t="array" aca="1" ref="I271" ca="1">INDIRECT(ADDRESS(myRAND(1,I$2,I$8:I$9)+5,I$1))</f>
        <v>1</v>
      </c>
      <c r="J271">
        <f t="shared" ca="1" si="33"/>
        <v>12</v>
      </c>
      <c r="K271">
        <f t="shared" ca="1" si="33"/>
        <v>200</v>
      </c>
      <c r="L271" s="3">
        <f t="shared" ca="1" si="35"/>
        <v>2</v>
      </c>
      <c r="M271" s="13">
        <f t="shared" ca="1" si="36"/>
        <v>0.30364507017616588</v>
      </c>
      <c r="N271">
        <f t="shared" ca="1" si="37"/>
        <v>-0.83000000000000007</v>
      </c>
      <c r="O271">
        <f t="shared" ca="1" si="38"/>
        <v>0</v>
      </c>
      <c r="P271">
        <f t="shared" ca="1" si="39"/>
        <v>1</v>
      </c>
      <c r="Q271">
        <f t="shared" ca="1" si="40"/>
        <v>0</v>
      </c>
      <c r="R271">
        <f t="shared" ca="1" si="41"/>
        <v>0</v>
      </c>
      <c r="S271">
        <f t="shared" ca="1" si="42"/>
        <v>2</v>
      </c>
      <c r="T271" s="17">
        <f t="shared" ca="1" si="43"/>
        <v>4.4861904761904761</v>
      </c>
    </row>
    <row r="272" spans="2:20" x14ac:dyDescent="0.3">
      <c r="B272">
        <f t="shared" ca="1" si="34"/>
        <v>67</v>
      </c>
      <c r="C272" cm="1">
        <f t="array" aca="1" ref="C272" ca="1">INDIRECT(ADDRESS(myRAND(1,C$2,C$8:C$9)+5,C$1))</f>
        <v>1</v>
      </c>
      <c r="D272" cm="1">
        <f t="array" aca="1" ref="D272" ca="1">INDIRECT(ADDRESS(myRAND(1,D$2,D$8:D$9)+5,D$1))</f>
        <v>1</v>
      </c>
      <c r="E272" cm="1">
        <f t="array" aca="1" ref="E272" ca="1">INDIRECT(ADDRESS(myRAND(1,E$2,E$8:E$9)+5,E$1))</f>
        <v>0</v>
      </c>
      <c r="F272" cm="1">
        <f t="array" aca="1" ref="F272" ca="1">INDIRECT(ADDRESS(myRAND(1,F$2,F$8:F$9)+5,F$1))</f>
        <v>1</v>
      </c>
      <c r="G272" cm="1">
        <f t="array" aca="1" ref="G272" ca="1">INDIRECT(ADDRESS(myRAND(1,G$2,G$8:G$9)+5,G$1))</f>
        <v>0</v>
      </c>
      <c r="H272" cm="1">
        <f t="array" aca="1" ref="H272" ca="1">INDIRECT(ADDRESS(myRAND(1,H$2,H$8:H$9)+5,H$1))</f>
        <v>0</v>
      </c>
      <c r="I272" cm="1">
        <f t="array" aca="1" ref="I272" ca="1">INDIRECT(ADDRESS(myRAND(1,I$2,I$8:I$9)+5,I$1))</f>
        <v>0</v>
      </c>
      <c r="J272">
        <f t="shared" ref="J272:K335" ca="1" si="44">IF(ROUND(NORMINV(RAND(),J$6,J$7),0)&lt;J$8,J$8,ROUND(NORMINV(RAND(),J$6,J$7),0))</f>
        <v>16</v>
      </c>
      <c r="K272">
        <f t="shared" ca="1" si="44"/>
        <v>194</v>
      </c>
      <c r="L272" s="3">
        <f t="shared" ca="1" si="35"/>
        <v>3</v>
      </c>
      <c r="M272" s="13">
        <f t="shared" ca="1" si="36"/>
        <v>0.82491373183596017</v>
      </c>
      <c r="N272">
        <f t="shared" ca="1" si="37"/>
        <v>1.55</v>
      </c>
      <c r="O272">
        <f t="shared" ca="1" si="38"/>
        <v>0</v>
      </c>
      <c r="P272">
        <f t="shared" ca="1" si="39"/>
        <v>1</v>
      </c>
      <c r="Q272">
        <f t="shared" ca="1" si="40"/>
        <v>0</v>
      </c>
      <c r="R272">
        <f t="shared" ca="1" si="41"/>
        <v>0</v>
      </c>
      <c r="S272">
        <f t="shared" ca="1" si="42"/>
        <v>0</v>
      </c>
      <c r="T272" s="17">
        <f t="shared" ca="1" si="43"/>
        <v>2.984285714285714</v>
      </c>
    </row>
    <row r="273" spans="2:20" x14ac:dyDescent="0.3">
      <c r="B273">
        <f t="shared" ref="B273:B336" ca="1" si="45">IF(ROUND(NORMINV(RAND(),B$6,B$7),0)&lt;B$8,B$8,ROUND(NORMINV(RAND(),B$6,B$7),0))</f>
        <v>36</v>
      </c>
      <c r="C273" cm="1">
        <f t="array" aca="1" ref="C273" ca="1">INDIRECT(ADDRESS(myRAND(1,C$2,C$8:C$9)+5,C$1))</f>
        <v>1</v>
      </c>
      <c r="D273" cm="1">
        <f t="array" aca="1" ref="D273" ca="1">INDIRECT(ADDRESS(myRAND(1,D$2,D$8:D$9)+5,D$1))</f>
        <v>1</v>
      </c>
      <c r="E273" cm="1">
        <f t="array" aca="1" ref="E273" ca="1">INDIRECT(ADDRESS(myRAND(1,E$2,E$8:E$9)+5,E$1))</f>
        <v>1</v>
      </c>
      <c r="F273" cm="1">
        <f t="array" aca="1" ref="F273" ca="1">INDIRECT(ADDRESS(myRAND(1,F$2,F$8:F$9)+5,F$1))</f>
        <v>0</v>
      </c>
      <c r="G273" cm="1">
        <f t="array" aca="1" ref="G273" ca="1">INDIRECT(ADDRESS(myRAND(1,G$2,G$8:G$9)+5,G$1))</f>
        <v>0</v>
      </c>
      <c r="H273" cm="1">
        <f t="array" aca="1" ref="H273" ca="1">INDIRECT(ADDRESS(myRAND(1,H$2,H$8:H$9)+5,H$1))</f>
        <v>0</v>
      </c>
      <c r="I273" cm="1">
        <f t="array" aca="1" ref="I273" ca="1">INDIRECT(ADDRESS(myRAND(1,I$2,I$8:I$9)+5,I$1))</f>
        <v>1</v>
      </c>
      <c r="J273">
        <f t="shared" ca="1" si="44"/>
        <v>16</v>
      </c>
      <c r="K273">
        <f t="shared" ca="1" si="44"/>
        <v>238</v>
      </c>
      <c r="L273" s="3">
        <f t="shared" ref="L273:L336" ca="1" si="46">IF(R273=0,IF(M273&lt;$M$11,1,IF(M273&lt;M269,2,3)),IF(AND(T273&lt;$M$8,S273&lt;$M$9),1,3))</f>
        <v>3</v>
      </c>
      <c r="M273" s="13">
        <f t="shared" ref="M273:M336" ca="1" si="47">1/(1+EXP(-N273))</f>
        <v>0.5768852611320463</v>
      </c>
      <c r="N273">
        <f t="shared" ref="N273:N336" ca="1" si="48">-4.37+0.04*B273+1.34 *C273+1.9 * P273+  0.64 *O273</f>
        <v>0.30999999999999983</v>
      </c>
      <c r="O273">
        <f t="shared" ref="O273:O336" ca="1" si="49">IF(SUM(D273:F273)=3,1,0)</f>
        <v>0</v>
      </c>
      <c r="P273">
        <f t="shared" ref="P273:P336" ca="1" si="50">IF(SUM(D273:F273)=2,1,0)</f>
        <v>1</v>
      </c>
      <c r="Q273">
        <f t="shared" ref="Q273:Q336" ca="1" si="51">IF(SUM(D273:F273)=1,1,0)</f>
        <v>0</v>
      </c>
      <c r="R273">
        <f t="shared" ref="R273:R336" ca="1" si="52">IF(SUM(D273:G273)=0,1,0)</f>
        <v>0</v>
      </c>
      <c r="S273">
        <f t="shared" ref="S273:S336" ca="1" si="53">SUM(G273:I273)</f>
        <v>1</v>
      </c>
      <c r="T273" s="17">
        <f t="shared" ref="T273:T336" ca="1" si="54">(B273-20)/100 *$T$5 + C273*$T$6+(K273-100)/$K$6*$T$7+J273/$J$6*$T$8+I273*$T$9</f>
        <v>5.883809523809524</v>
      </c>
    </row>
    <row r="274" spans="2:20" x14ac:dyDescent="0.3">
      <c r="B274">
        <f t="shared" ca="1" si="45"/>
        <v>66</v>
      </c>
      <c r="C274" cm="1">
        <f t="array" aca="1" ref="C274" ca="1">INDIRECT(ADDRESS(myRAND(1,C$2,C$8:C$9)+5,C$1))</f>
        <v>0</v>
      </c>
      <c r="D274" cm="1">
        <f t="array" aca="1" ref="D274" ca="1">INDIRECT(ADDRESS(myRAND(1,D$2,D$8:D$9)+5,D$1))</f>
        <v>0</v>
      </c>
      <c r="E274" cm="1">
        <f t="array" aca="1" ref="E274" ca="1">INDIRECT(ADDRESS(myRAND(1,E$2,E$8:E$9)+5,E$1))</f>
        <v>0</v>
      </c>
      <c r="F274" cm="1">
        <f t="array" aca="1" ref="F274" ca="1">INDIRECT(ADDRESS(myRAND(1,F$2,F$8:F$9)+5,F$1))</f>
        <v>0</v>
      </c>
      <c r="G274" cm="1">
        <f t="array" aca="1" ref="G274" ca="1">INDIRECT(ADDRESS(myRAND(1,G$2,G$8:G$9)+5,G$1))</f>
        <v>0</v>
      </c>
      <c r="H274" cm="1">
        <f t="array" aca="1" ref="H274" ca="1">INDIRECT(ADDRESS(myRAND(1,H$2,H$8:H$9)+5,H$1))</f>
        <v>0</v>
      </c>
      <c r="I274" cm="1">
        <f t="array" aca="1" ref="I274" ca="1">INDIRECT(ADDRESS(myRAND(1,I$2,I$8:I$9)+5,I$1))</f>
        <v>0</v>
      </c>
      <c r="J274">
        <f t="shared" ca="1" si="44"/>
        <v>15</v>
      </c>
      <c r="K274">
        <f t="shared" ca="1" si="44"/>
        <v>170</v>
      </c>
      <c r="L274" s="3">
        <f t="shared" ca="1" si="46"/>
        <v>1</v>
      </c>
      <c r="M274" s="13">
        <f t="shared" ca="1" si="47"/>
        <v>0.15058757974584394</v>
      </c>
      <c r="N274">
        <f t="shared" ca="1" si="48"/>
        <v>-1.73</v>
      </c>
      <c r="O274">
        <f t="shared" ca="1" si="49"/>
        <v>0</v>
      </c>
      <c r="P274">
        <f t="shared" ca="1" si="50"/>
        <v>0</v>
      </c>
      <c r="Q274">
        <f t="shared" ca="1" si="51"/>
        <v>0</v>
      </c>
      <c r="R274">
        <f t="shared" ca="1" si="52"/>
        <v>1</v>
      </c>
      <c r="S274">
        <f t="shared" ca="1" si="53"/>
        <v>0</v>
      </c>
      <c r="T274" s="17">
        <f t="shared" ca="1" si="54"/>
        <v>1.7933333333333334</v>
      </c>
    </row>
    <row r="275" spans="2:20" x14ac:dyDescent="0.3">
      <c r="B275">
        <f t="shared" ca="1" si="45"/>
        <v>64</v>
      </c>
      <c r="C275" cm="1">
        <f t="array" aca="1" ref="C275" ca="1">INDIRECT(ADDRESS(myRAND(1,C$2,C$8:C$9)+5,C$1))</f>
        <v>0</v>
      </c>
      <c r="D275" cm="1">
        <f t="array" aca="1" ref="D275" ca="1">INDIRECT(ADDRESS(myRAND(1,D$2,D$8:D$9)+5,D$1))</f>
        <v>0</v>
      </c>
      <c r="E275" cm="1">
        <f t="array" aca="1" ref="E275" ca="1">INDIRECT(ADDRESS(myRAND(1,E$2,E$8:E$9)+5,E$1))</f>
        <v>1</v>
      </c>
      <c r="F275" cm="1">
        <f t="array" aca="1" ref="F275" ca="1">INDIRECT(ADDRESS(myRAND(1,F$2,F$8:F$9)+5,F$1))</f>
        <v>0</v>
      </c>
      <c r="G275" cm="1">
        <f t="array" aca="1" ref="G275" ca="1">INDIRECT(ADDRESS(myRAND(1,G$2,G$8:G$9)+5,G$1))</f>
        <v>0</v>
      </c>
      <c r="H275" cm="1">
        <f t="array" aca="1" ref="H275" ca="1">INDIRECT(ADDRESS(myRAND(1,H$2,H$8:H$9)+5,H$1))</f>
        <v>0</v>
      </c>
      <c r="I275" cm="1">
        <f t="array" aca="1" ref="I275" ca="1">INDIRECT(ADDRESS(myRAND(1,I$2,I$8:I$9)+5,I$1))</f>
        <v>1</v>
      </c>
      <c r="J275">
        <f t="shared" ca="1" si="44"/>
        <v>14</v>
      </c>
      <c r="K275">
        <f t="shared" ca="1" si="44"/>
        <v>209</v>
      </c>
      <c r="L275" s="3">
        <f t="shared" ca="1" si="46"/>
        <v>1</v>
      </c>
      <c r="M275" s="13">
        <f t="shared" ca="1" si="47"/>
        <v>0.14063812573413417</v>
      </c>
      <c r="N275">
        <f t="shared" ca="1" si="48"/>
        <v>-1.81</v>
      </c>
      <c r="O275">
        <f t="shared" ca="1" si="49"/>
        <v>0</v>
      </c>
      <c r="P275">
        <f t="shared" ca="1" si="50"/>
        <v>0</v>
      </c>
      <c r="Q275">
        <f t="shared" ca="1" si="51"/>
        <v>1</v>
      </c>
      <c r="R275">
        <f t="shared" ca="1" si="52"/>
        <v>0</v>
      </c>
      <c r="S275">
        <f t="shared" ca="1" si="53"/>
        <v>1</v>
      </c>
      <c r="T275" s="17">
        <f t="shared" ca="1" si="54"/>
        <v>4.8923809523809521</v>
      </c>
    </row>
    <row r="276" spans="2:20" x14ac:dyDescent="0.3">
      <c r="B276">
        <f t="shared" ca="1" si="45"/>
        <v>44</v>
      </c>
      <c r="C276" cm="1">
        <f t="array" aca="1" ref="C276" ca="1">INDIRECT(ADDRESS(myRAND(1,C$2,C$8:C$9)+5,C$1))</f>
        <v>1</v>
      </c>
      <c r="D276" cm="1">
        <f t="array" aca="1" ref="D276" ca="1">INDIRECT(ADDRESS(myRAND(1,D$2,D$8:D$9)+5,D$1))</f>
        <v>1</v>
      </c>
      <c r="E276" cm="1">
        <f t="array" aca="1" ref="E276" ca="1">INDIRECT(ADDRESS(myRAND(1,E$2,E$8:E$9)+5,E$1))</f>
        <v>1</v>
      </c>
      <c r="F276" cm="1">
        <f t="array" aca="1" ref="F276" ca="1">INDIRECT(ADDRESS(myRAND(1,F$2,F$8:F$9)+5,F$1))</f>
        <v>1</v>
      </c>
      <c r="G276" cm="1">
        <f t="array" aca="1" ref="G276" ca="1">INDIRECT(ADDRESS(myRAND(1,G$2,G$8:G$9)+5,G$1))</f>
        <v>1</v>
      </c>
      <c r="H276" cm="1">
        <f t="array" aca="1" ref="H276" ca="1">INDIRECT(ADDRESS(myRAND(1,H$2,H$8:H$9)+5,H$1))</f>
        <v>0</v>
      </c>
      <c r="I276" cm="1">
        <f t="array" aca="1" ref="I276" ca="1">INDIRECT(ADDRESS(myRAND(1,I$2,I$8:I$9)+5,I$1))</f>
        <v>0</v>
      </c>
      <c r="J276">
        <f t="shared" ca="1" si="44"/>
        <v>15</v>
      </c>
      <c r="K276">
        <f t="shared" ca="1" si="44"/>
        <v>205</v>
      </c>
      <c r="L276" s="3">
        <f t="shared" ca="1" si="46"/>
        <v>2</v>
      </c>
      <c r="M276" s="13">
        <f t="shared" ca="1" si="47"/>
        <v>0.34751053780725544</v>
      </c>
      <c r="N276">
        <f t="shared" ca="1" si="48"/>
        <v>-0.63000000000000023</v>
      </c>
      <c r="O276">
        <f t="shared" ca="1" si="49"/>
        <v>1</v>
      </c>
      <c r="P276">
        <f t="shared" ca="1" si="50"/>
        <v>0</v>
      </c>
      <c r="Q276">
        <f t="shared" ca="1" si="51"/>
        <v>0</v>
      </c>
      <c r="R276">
        <f t="shared" ca="1" si="52"/>
        <v>0</v>
      </c>
      <c r="S276">
        <f t="shared" ca="1" si="53"/>
        <v>1</v>
      </c>
      <c r="T276" s="17">
        <f t="shared" ca="1" si="54"/>
        <v>2.74</v>
      </c>
    </row>
    <row r="277" spans="2:20" x14ac:dyDescent="0.3">
      <c r="B277">
        <f t="shared" ca="1" si="45"/>
        <v>56</v>
      </c>
      <c r="C277" cm="1">
        <f t="array" aca="1" ref="C277" ca="1">INDIRECT(ADDRESS(myRAND(1,C$2,C$8:C$9)+5,C$1))</f>
        <v>1</v>
      </c>
      <c r="D277" cm="1">
        <f t="array" aca="1" ref="D277" ca="1">INDIRECT(ADDRESS(myRAND(1,D$2,D$8:D$9)+5,D$1))</f>
        <v>1</v>
      </c>
      <c r="E277" cm="1">
        <f t="array" aca="1" ref="E277" ca="1">INDIRECT(ADDRESS(myRAND(1,E$2,E$8:E$9)+5,E$1))</f>
        <v>0</v>
      </c>
      <c r="F277" cm="1">
        <f t="array" aca="1" ref="F277" ca="1">INDIRECT(ADDRESS(myRAND(1,F$2,F$8:F$9)+5,F$1))</f>
        <v>1</v>
      </c>
      <c r="G277" cm="1">
        <f t="array" aca="1" ref="G277" ca="1">INDIRECT(ADDRESS(myRAND(1,G$2,G$8:G$9)+5,G$1))</f>
        <v>1</v>
      </c>
      <c r="H277" cm="1">
        <f t="array" aca="1" ref="H277" ca="1">INDIRECT(ADDRESS(myRAND(1,H$2,H$8:H$9)+5,H$1))</f>
        <v>0</v>
      </c>
      <c r="I277" cm="1">
        <f t="array" aca="1" ref="I277" ca="1">INDIRECT(ADDRESS(myRAND(1,I$2,I$8:I$9)+5,I$1))</f>
        <v>1</v>
      </c>
      <c r="J277">
        <f t="shared" ca="1" si="44"/>
        <v>13</v>
      </c>
      <c r="K277">
        <f t="shared" ca="1" si="44"/>
        <v>200</v>
      </c>
      <c r="L277" s="3">
        <f t="shared" ca="1" si="46"/>
        <v>3</v>
      </c>
      <c r="M277" s="13">
        <f t="shared" ca="1" si="47"/>
        <v>0.75212911143957017</v>
      </c>
      <c r="N277">
        <f t="shared" ca="1" si="48"/>
        <v>1.1100000000000001</v>
      </c>
      <c r="O277">
        <f t="shared" ca="1" si="49"/>
        <v>0</v>
      </c>
      <c r="P277">
        <f t="shared" ca="1" si="50"/>
        <v>1</v>
      </c>
      <c r="Q277">
        <f t="shared" ca="1" si="51"/>
        <v>0</v>
      </c>
      <c r="R277">
        <f t="shared" ca="1" si="52"/>
        <v>0</v>
      </c>
      <c r="S277">
        <f t="shared" ca="1" si="53"/>
        <v>2</v>
      </c>
      <c r="T277" s="17">
        <f t="shared" ca="1" si="54"/>
        <v>5.7028571428571428</v>
      </c>
    </row>
    <row r="278" spans="2:20" x14ac:dyDescent="0.3">
      <c r="B278">
        <f t="shared" ca="1" si="45"/>
        <v>44</v>
      </c>
      <c r="C278" cm="1">
        <f t="array" aca="1" ref="C278" ca="1">INDIRECT(ADDRESS(myRAND(1,C$2,C$8:C$9)+5,C$1))</f>
        <v>1</v>
      </c>
      <c r="D278" cm="1">
        <f t="array" aca="1" ref="D278" ca="1">INDIRECT(ADDRESS(myRAND(1,D$2,D$8:D$9)+5,D$1))</f>
        <v>0</v>
      </c>
      <c r="E278" cm="1">
        <f t="array" aca="1" ref="E278" ca="1">INDIRECT(ADDRESS(myRAND(1,E$2,E$8:E$9)+5,E$1))</f>
        <v>0</v>
      </c>
      <c r="F278" cm="1">
        <f t="array" aca="1" ref="F278" ca="1">INDIRECT(ADDRESS(myRAND(1,F$2,F$8:F$9)+5,F$1))</f>
        <v>0</v>
      </c>
      <c r="G278" cm="1">
        <f t="array" aca="1" ref="G278" ca="1">INDIRECT(ADDRESS(myRAND(1,G$2,G$8:G$9)+5,G$1))</f>
        <v>0</v>
      </c>
      <c r="H278" cm="1">
        <f t="array" aca="1" ref="H278" ca="1">INDIRECT(ADDRESS(myRAND(1,H$2,H$8:H$9)+5,H$1))</f>
        <v>1</v>
      </c>
      <c r="I278" cm="1">
        <f t="array" aca="1" ref="I278" ca="1">INDIRECT(ADDRESS(myRAND(1,I$2,I$8:I$9)+5,I$1))</f>
        <v>0</v>
      </c>
      <c r="J278">
        <f t="shared" ca="1" si="44"/>
        <v>12</v>
      </c>
      <c r="K278">
        <f t="shared" ca="1" si="44"/>
        <v>203</v>
      </c>
      <c r="L278" s="3">
        <f t="shared" ca="1" si="46"/>
        <v>3</v>
      </c>
      <c r="M278" s="13">
        <f t="shared" ca="1" si="47"/>
        <v>0.2192572520878717</v>
      </c>
      <c r="N278">
        <f t="shared" ca="1" si="48"/>
        <v>-1.2700000000000002</v>
      </c>
      <c r="O278">
        <f t="shared" ca="1" si="49"/>
        <v>0</v>
      </c>
      <c r="P278">
        <f t="shared" ca="1" si="50"/>
        <v>0</v>
      </c>
      <c r="Q278">
        <f t="shared" ca="1" si="51"/>
        <v>0</v>
      </c>
      <c r="R278">
        <f t="shared" ca="1" si="52"/>
        <v>1</v>
      </c>
      <c r="S278">
        <f t="shared" ca="1" si="53"/>
        <v>1</v>
      </c>
      <c r="T278" s="17">
        <f t="shared" ca="1" si="54"/>
        <v>2.5304761904761905</v>
      </c>
    </row>
    <row r="279" spans="2:20" x14ac:dyDescent="0.3">
      <c r="B279">
        <f t="shared" ca="1" si="45"/>
        <v>58</v>
      </c>
      <c r="C279" cm="1">
        <f t="array" aca="1" ref="C279" ca="1">INDIRECT(ADDRESS(myRAND(1,C$2,C$8:C$9)+5,C$1))</f>
        <v>1</v>
      </c>
      <c r="D279" cm="1">
        <f t="array" aca="1" ref="D279" ca="1">INDIRECT(ADDRESS(myRAND(1,D$2,D$8:D$9)+5,D$1))</f>
        <v>1</v>
      </c>
      <c r="E279" cm="1">
        <f t="array" aca="1" ref="E279" ca="1">INDIRECT(ADDRESS(myRAND(1,E$2,E$8:E$9)+5,E$1))</f>
        <v>0</v>
      </c>
      <c r="F279" cm="1">
        <f t="array" aca="1" ref="F279" ca="1">INDIRECT(ADDRESS(myRAND(1,F$2,F$8:F$9)+5,F$1))</f>
        <v>0</v>
      </c>
      <c r="G279" cm="1">
        <f t="array" aca="1" ref="G279" ca="1">INDIRECT(ADDRESS(myRAND(1,G$2,G$8:G$9)+5,G$1))</f>
        <v>0</v>
      </c>
      <c r="H279" cm="1">
        <f t="array" aca="1" ref="H279" ca="1">INDIRECT(ADDRESS(myRAND(1,H$2,H$8:H$9)+5,H$1))</f>
        <v>1</v>
      </c>
      <c r="I279" cm="1">
        <f t="array" aca="1" ref="I279" ca="1">INDIRECT(ADDRESS(myRAND(1,I$2,I$8:I$9)+5,I$1))</f>
        <v>1</v>
      </c>
      <c r="J279">
        <f t="shared" ca="1" si="44"/>
        <v>13</v>
      </c>
      <c r="K279">
        <f t="shared" ca="1" si="44"/>
        <v>196</v>
      </c>
      <c r="L279" s="3">
        <f t="shared" ca="1" si="46"/>
        <v>3</v>
      </c>
      <c r="M279" s="13">
        <f t="shared" ca="1" si="47"/>
        <v>0.32959884019113139</v>
      </c>
      <c r="N279">
        <f t="shared" ca="1" si="48"/>
        <v>-0.71000000000000019</v>
      </c>
      <c r="O279">
        <f t="shared" ca="1" si="49"/>
        <v>0</v>
      </c>
      <c r="P279">
        <f t="shared" ca="1" si="50"/>
        <v>0</v>
      </c>
      <c r="Q279">
        <f t="shared" ca="1" si="51"/>
        <v>1</v>
      </c>
      <c r="R279">
        <f t="shared" ca="1" si="52"/>
        <v>0</v>
      </c>
      <c r="S279">
        <f t="shared" ca="1" si="53"/>
        <v>2</v>
      </c>
      <c r="T279" s="17">
        <f t="shared" ca="1" si="54"/>
        <v>5.7038095238095234</v>
      </c>
    </row>
    <row r="280" spans="2:20" x14ac:dyDescent="0.3">
      <c r="B280">
        <f t="shared" ca="1" si="45"/>
        <v>46</v>
      </c>
      <c r="C280" cm="1">
        <f t="array" aca="1" ref="C280" ca="1">INDIRECT(ADDRESS(myRAND(1,C$2,C$8:C$9)+5,C$1))</f>
        <v>0</v>
      </c>
      <c r="D280" cm="1">
        <f t="array" aca="1" ref="D280" ca="1">INDIRECT(ADDRESS(myRAND(1,D$2,D$8:D$9)+5,D$1))</f>
        <v>1</v>
      </c>
      <c r="E280" cm="1">
        <f t="array" aca="1" ref="E280" ca="1">INDIRECT(ADDRESS(myRAND(1,E$2,E$8:E$9)+5,E$1))</f>
        <v>0</v>
      </c>
      <c r="F280" cm="1">
        <f t="array" aca="1" ref="F280" ca="1">INDIRECT(ADDRESS(myRAND(1,F$2,F$8:F$9)+5,F$1))</f>
        <v>1</v>
      </c>
      <c r="G280" cm="1">
        <f t="array" aca="1" ref="G280" ca="1">INDIRECT(ADDRESS(myRAND(1,G$2,G$8:G$9)+5,G$1))</f>
        <v>0</v>
      </c>
      <c r="H280" cm="1">
        <f t="array" aca="1" ref="H280" ca="1">INDIRECT(ADDRESS(myRAND(1,H$2,H$8:H$9)+5,H$1))</f>
        <v>1</v>
      </c>
      <c r="I280" cm="1">
        <f t="array" aca="1" ref="I280" ca="1">INDIRECT(ADDRESS(myRAND(1,I$2,I$8:I$9)+5,I$1))</f>
        <v>0</v>
      </c>
      <c r="J280">
        <f t="shared" ca="1" si="44"/>
        <v>15</v>
      </c>
      <c r="K280">
        <f t="shared" ca="1" si="44"/>
        <v>204</v>
      </c>
      <c r="L280" s="3">
        <f t="shared" ca="1" si="46"/>
        <v>3</v>
      </c>
      <c r="M280" s="13">
        <f t="shared" ca="1" si="47"/>
        <v>0.34751053780725544</v>
      </c>
      <c r="N280">
        <f t="shared" ca="1" si="48"/>
        <v>-0.63000000000000034</v>
      </c>
      <c r="O280">
        <f t="shared" ca="1" si="49"/>
        <v>0</v>
      </c>
      <c r="P280">
        <f t="shared" ca="1" si="50"/>
        <v>1</v>
      </c>
      <c r="Q280">
        <f t="shared" ca="1" si="51"/>
        <v>0</v>
      </c>
      <c r="R280">
        <f t="shared" ca="1" si="52"/>
        <v>0</v>
      </c>
      <c r="S280">
        <f t="shared" ca="1" si="53"/>
        <v>1</v>
      </c>
      <c r="T280" s="17">
        <f t="shared" ca="1" si="54"/>
        <v>1.7552380952380953</v>
      </c>
    </row>
    <row r="281" spans="2:20" x14ac:dyDescent="0.3">
      <c r="B281">
        <f t="shared" ca="1" si="45"/>
        <v>57</v>
      </c>
      <c r="C281" cm="1">
        <f t="array" aca="1" ref="C281" ca="1">INDIRECT(ADDRESS(myRAND(1,C$2,C$8:C$9)+5,C$1))</f>
        <v>0</v>
      </c>
      <c r="D281" cm="1">
        <f t="array" aca="1" ref="D281" ca="1">INDIRECT(ADDRESS(myRAND(1,D$2,D$8:D$9)+5,D$1))</f>
        <v>1</v>
      </c>
      <c r="E281" cm="1">
        <f t="array" aca="1" ref="E281" ca="1">INDIRECT(ADDRESS(myRAND(1,E$2,E$8:E$9)+5,E$1))</f>
        <v>1</v>
      </c>
      <c r="F281" cm="1">
        <f t="array" aca="1" ref="F281" ca="1">INDIRECT(ADDRESS(myRAND(1,F$2,F$8:F$9)+5,F$1))</f>
        <v>1</v>
      </c>
      <c r="G281" cm="1">
        <f t="array" aca="1" ref="G281" ca="1">INDIRECT(ADDRESS(myRAND(1,G$2,G$8:G$9)+5,G$1))</f>
        <v>1</v>
      </c>
      <c r="H281" cm="1">
        <f t="array" aca="1" ref="H281" ca="1">INDIRECT(ADDRESS(myRAND(1,H$2,H$8:H$9)+5,H$1))</f>
        <v>0</v>
      </c>
      <c r="I281" cm="1">
        <f t="array" aca="1" ref="I281" ca="1">INDIRECT(ADDRESS(myRAND(1,I$2,I$8:I$9)+5,I$1))</f>
        <v>0</v>
      </c>
      <c r="J281">
        <f t="shared" ca="1" si="44"/>
        <v>17</v>
      </c>
      <c r="K281">
        <f t="shared" ca="1" si="44"/>
        <v>192</v>
      </c>
      <c r="L281" s="3">
        <f t="shared" ca="1" si="46"/>
        <v>2</v>
      </c>
      <c r="M281" s="13">
        <f t="shared" ca="1" si="47"/>
        <v>0.19000156601531304</v>
      </c>
      <c r="N281">
        <f t="shared" ca="1" si="48"/>
        <v>-1.4499999999999997</v>
      </c>
      <c r="O281">
        <f t="shared" ca="1" si="49"/>
        <v>1</v>
      </c>
      <c r="P281">
        <f t="shared" ca="1" si="50"/>
        <v>0</v>
      </c>
      <c r="Q281">
        <f t="shared" ca="1" si="51"/>
        <v>0</v>
      </c>
      <c r="R281">
        <f t="shared" ca="1" si="52"/>
        <v>0</v>
      </c>
      <c r="S281">
        <f t="shared" ca="1" si="53"/>
        <v>1</v>
      </c>
      <c r="T281" s="17">
        <f t="shared" ca="1" si="54"/>
        <v>1.9414285714285713</v>
      </c>
    </row>
    <row r="282" spans="2:20" x14ac:dyDescent="0.3">
      <c r="B282">
        <f t="shared" ca="1" si="45"/>
        <v>37</v>
      </c>
      <c r="C282" cm="1">
        <f t="array" aca="1" ref="C282" ca="1">INDIRECT(ADDRESS(myRAND(1,C$2,C$8:C$9)+5,C$1))</f>
        <v>1</v>
      </c>
      <c r="D282" cm="1">
        <f t="array" aca="1" ref="D282" ca="1">INDIRECT(ADDRESS(myRAND(1,D$2,D$8:D$9)+5,D$1))</f>
        <v>1</v>
      </c>
      <c r="E282" cm="1">
        <f t="array" aca="1" ref="E282" ca="1">INDIRECT(ADDRESS(myRAND(1,E$2,E$8:E$9)+5,E$1))</f>
        <v>1</v>
      </c>
      <c r="F282" cm="1">
        <f t="array" aca="1" ref="F282" ca="1">INDIRECT(ADDRESS(myRAND(1,F$2,F$8:F$9)+5,F$1))</f>
        <v>0</v>
      </c>
      <c r="G282" cm="1">
        <f t="array" aca="1" ref="G282" ca="1">INDIRECT(ADDRESS(myRAND(1,G$2,G$8:G$9)+5,G$1))</f>
        <v>0</v>
      </c>
      <c r="H282" cm="1">
        <f t="array" aca="1" ref="H282" ca="1">INDIRECT(ADDRESS(myRAND(1,H$2,H$8:H$9)+5,H$1))</f>
        <v>0</v>
      </c>
      <c r="I282" cm="1">
        <f t="array" aca="1" ref="I282" ca="1">INDIRECT(ADDRESS(myRAND(1,I$2,I$8:I$9)+5,I$1))</f>
        <v>0</v>
      </c>
      <c r="J282">
        <f t="shared" ca="1" si="44"/>
        <v>14</v>
      </c>
      <c r="K282">
        <f t="shared" ca="1" si="44"/>
        <v>241</v>
      </c>
      <c r="L282" s="3">
        <f t="shared" ca="1" si="46"/>
        <v>3</v>
      </c>
      <c r="M282" s="13">
        <f t="shared" ca="1" si="47"/>
        <v>0.58661757891733002</v>
      </c>
      <c r="N282">
        <f t="shared" ca="1" si="48"/>
        <v>0.34999999999999987</v>
      </c>
      <c r="O282">
        <f t="shared" ca="1" si="49"/>
        <v>0</v>
      </c>
      <c r="P282">
        <f t="shared" ca="1" si="50"/>
        <v>1</v>
      </c>
      <c r="Q282">
        <f t="shared" ca="1" si="51"/>
        <v>0</v>
      </c>
      <c r="R282">
        <f t="shared" ca="1" si="52"/>
        <v>0</v>
      </c>
      <c r="S282">
        <f t="shared" ca="1" si="53"/>
        <v>0</v>
      </c>
      <c r="T282" s="17">
        <f t="shared" ca="1" si="54"/>
        <v>2.7747619047619043</v>
      </c>
    </row>
    <row r="283" spans="2:20" x14ac:dyDescent="0.3">
      <c r="B283">
        <f t="shared" ca="1" si="45"/>
        <v>35</v>
      </c>
      <c r="C283" cm="1">
        <f t="array" aca="1" ref="C283" ca="1">INDIRECT(ADDRESS(myRAND(1,C$2,C$8:C$9)+5,C$1))</f>
        <v>0</v>
      </c>
      <c r="D283" cm="1">
        <f t="array" aca="1" ref="D283" ca="1">INDIRECT(ADDRESS(myRAND(1,D$2,D$8:D$9)+5,D$1))</f>
        <v>1</v>
      </c>
      <c r="E283" cm="1">
        <f t="array" aca="1" ref="E283" ca="1">INDIRECT(ADDRESS(myRAND(1,E$2,E$8:E$9)+5,E$1))</f>
        <v>0</v>
      </c>
      <c r="F283" cm="1">
        <f t="array" aca="1" ref="F283" ca="1">INDIRECT(ADDRESS(myRAND(1,F$2,F$8:F$9)+5,F$1))</f>
        <v>1</v>
      </c>
      <c r="G283" cm="1">
        <f t="array" aca="1" ref="G283" ca="1">INDIRECT(ADDRESS(myRAND(1,G$2,G$8:G$9)+5,G$1))</f>
        <v>0</v>
      </c>
      <c r="H283" cm="1">
        <f t="array" aca="1" ref="H283" ca="1">INDIRECT(ADDRESS(myRAND(1,H$2,H$8:H$9)+5,H$1))</f>
        <v>0</v>
      </c>
      <c r="I283" cm="1">
        <f t="array" aca="1" ref="I283" ca="1">INDIRECT(ADDRESS(myRAND(1,I$2,I$8:I$9)+5,I$1))</f>
        <v>0</v>
      </c>
      <c r="J283">
        <f t="shared" ca="1" si="44"/>
        <v>12</v>
      </c>
      <c r="K283">
        <f t="shared" ca="1" si="44"/>
        <v>212</v>
      </c>
      <c r="L283" s="3">
        <f t="shared" ca="1" si="46"/>
        <v>2</v>
      </c>
      <c r="M283" s="13">
        <f t="shared" ca="1" si="47"/>
        <v>0.25540308417252405</v>
      </c>
      <c r="N283">
        <f t="shared" ca="1" si="48"/>
        <v>-1.0699999999999998</v>
      </c>
      <c r="O283">
        <f t="shared" ca="1" si="49"/>
        <v>0</v>
      </c>
      <c r="P283">
        <f t="shared" ca="1" si="50"/>
        <v>1</v>
      </c>
      <c r="Q283">
        <f t="shared" ca="1" si="51"/>
        <v>0</v>
      </c>
      <c r="R283">
        <f t="shared" ca="1" si="52"/>
        <v>0</v>
      </c>
      <c r="S283">
        <f t="shared" ca="1" si="53"/>
        <v>0</v>
      </c>
      <c r="T283" s="17">
        <f t="shared" ca="1" si="54"/>
        <v>1.4833333333333334</v>
      </c>
    </row>
    <row r="284" spans="2:20" x14ac:dyDescent="0.3">
      <c r="B284">
        <f t="shared" ca="1" si="45"/>
        <v>61</v>
      </c>
      <c r="C284" cm="1">
        <f t="array" aca="1" ref="C284" ca="1">INDIRECT(ADDRESS(myRAND(1,C$2,C$8:C$9)+5,C$1))</f>
        <v>1</v>
      </c>
      <c r="D284" cm="1">
        <f t="array" aca="1" ref="D284" ca="1">INDIRECT(ADDRESS(myRAND(1,D$2,D$8:D$9)+5,D$1))</f>
        <v>0</v>
      </c>
      <c r="E284" cm="1">
        <f t="array" aca="1" ref="E284" ca="1">INDIRECT(ADDRESS(myRAND(1,E$2,E$8:E$9)+5,E$1))</f>
        <v>1</v>
      </c>
      <c r="F284" cm="1">
        <f t="array" aca="1" ref="F284" ca="1">INDIRECT(ADDRESS(myRAND(1,F$2,F$8:F$9)+5,F$1))</f>
        <v>0</v>
      </c>
      <c r="G284" cm="1">
        <f t="array" aca="1" ref="G284" ca="1">INDIRECT(ADDRESS(myRAND(1,G$2,G$8:G$9)+5,G$1))</f>
        <v>1</v>
      </c>
      <c r="H284" cm="1">
        <f t="array" aca="1" ref="H284" ca="1">INDIRECT(ADDRESS(myRAND(1,H$2,H$8:H$9)+5,H$1))</f>
        <v>0</v>
      </c>
      <c r="I284" cm="1">
        <f t="array" aca="1" ref="I284" ca="1">INDIRECT(ADDRESS(myRAND(1,I$2,I$8:I$9)+5,I$1))</f>
        <v>0</v>
      </c>
      <c r="J284">
        <f t="shared" ca="1" si="44"/>
        <v>16</v>
      </c>
      <c r="K284">
        <f t="shared" ca="1" si="44"/>
        <v>193</v>
      </c>
      <c r="L284" s="3">
        <f t="shared" ca="1" si="46"/>
        <v>3</v>
      </c>
      <c r="M284" s="13">
        <f t="shared" ca="1" si="47"/>
        <v>0.35663485430559827</v>
      </c>
      <c r="N284">
        <f t="shared" ca="1" si="48"/>
        <v>-0.59000000000000008</v>
      </c>
      <c r="O284">
        <f t="shared" ca="1" si="49"/>
        <v>0</v>
      </c>
      <c r="P284">
        <f t="shared" ca="1" si="50"/>
        <v>0</v>
      </c>
      <c r="Q284">
        <f t="shared" ca="1" si="51"/>
        <v>1</v>
      </c>
      <c r="R284">
        <f t="shared" ca="1" si="52"/>
        <v>0</v>
      </c>
      <c r="S284">
        <f t="shared" ca="1" si="53"/>
        <v>1</v>
      </c>
      <c r="T284" s="17">
        <f t="shared" ca="1" si="54"/>
        <v>2.9195238095238096</v>
      </c>
    </row>
    <row r="285" spans="2:20" x14ac:dyDescent="0.3">
      <c r="B285">
        <f t="shared" ca="1" si="45"/>
        <v>42</v>
      </c>
      <c r="C285" cm="1">
        <f t="array" aca="1" ref="C285" ca="1">INDIRECT(ADDRESS(myRAND(1,C$2,C$8:C$9)+5,C$1))</f>
        <v>1</v>
      </c>
      <c r="D285" cm="1">
        <f t="array" aca="1" ref="D285" ca="1">INDIRECT(ADDRESS(myRAND(1,D$2,D$8:D$9)+5,D$1))</f>
        <v>0</v>
      </c>
      <c r="E285" cm="1">
        <f t="array" aca="1" ref="E285" ca="1">INDIRECT(ADDRESS(myRAND(1,E$2,E$8:E$9)+5,E$1))</f>
        <v>0</v>
      </c>
      <c r="F285" cm="1">
        <f t="array" aca="1" ref="F285" ca="1">INDIRECT(ADDRESS(myRAND(1,F$2,F$8:F$9)+5,F$1))</f>
        <v>0</v>
      </c>
      <c r="G285" cm="1">
        <f t="array" aca="1" ref="G285" ca="1">INDIRECT(ADDRESS(myRAND(1,G$2,G$8:G$9)+5,G$1))</f>
        <v>0</v>
      </c>
      <c r="H285" cm="1">
        <f t="array" aca="1" ref="H285" ca="1">INDIRECT(ADDRESS(myRAND(1,H$2,H$8:H$9)+5,H$1))</f>
        <v>1</v>
      </c>
      <c r="I285" cm="1">
        <f t="array" aca="1" ref="I285" ca="1">INDIRECT(ADDRESS(myRAND(1,I$2,I$8:I$9)+5,I$1))</f>
        <v>0</v>
      </c>
      <c r="J285">
        <f t="shared" ca="1" si="44"/>
        <v>18</v>
      </c>
      <c r="K285">
        <f t="shared" ca="1" si="44"/>
        <v>231</v>
      </c>
      <c r="L285" s="3">
        <f t="shared" ca="1" si="46"/>
        <v>3</v>
      </c>
      <c r="M285" s="13">
        <f t="shared" ca="1" si="47"/>
        <v>0.20587037180094728</v>
      </c>
      <c r="N285">
        <f t="shared" ca="1" si="48"/>
        <v>-1.3500000000000003</v>
      </c>
      <c r="O285">
        <f t="shared" ca="1" si="49"/>
        <v>0</v>
      </c>
      <c r="P285">
        <f t="shared" ca="1" si="50"/>
        <v>0</v>
      </c>
      <c r="Q285">
        <f t="shared" ca="1" si="51"/>
        <v>0</v>
      </c>
      <c r="R285">
        <f t="shared" ca="1" si="52"/>
        <v>1</v>
      </c>
      <c r="S285">
        <f t="shared" ca="1" si="53"/>
        <v>1</v>
      </c>
      <c r="T285" s="17">
        <f t="shared" ca="1" si="54"/>
        <v>3.0438095238095237</v>
      </c>
    </row>
    <row r="286" spans="2:20" x14ac:dyDescent="0.3">
      <c r="B286">
        <f t="shared" ca="1" si="45"/>
        <v>52</v>
      </c>
      <c r="C286" cm="1">
        <f t="array" aca="1" ref="C286" ca="1">INDIRECT(ADDRESS(myRAND(1,C$2,C$8:C$9)+5,C$1))</f>
        <v>1</v>
      </c>
      <c r="D286" cm="1">
        <f t="array" aca="1" ref="D286" ca="1">INDIRECT(ADDRESS(myRAND(1,D$2,D$8:D$9)+5,D$1))</f>
        <v>0</v>
      </c>
      <c r="E286" cm="1">
        <f t="array" aca="1" ref="E286" ca="1">INDIRECT(ADDRESS(myRAND(1,E$2,E$8:E$9)+5,E$1))</f>
        <v>1</v>
      </c>
      <c r="F286" cm="1">
        <f t="array" aca="1" ref="F286" ca="1">INDIRECT(ADDRESS(myRAND(1,F$2,F$8:F$9)+5,F$1))</f>
        <v>1</v>
      </c>
      <c r="G286" cm="1">
        <f t="array" aca="1" ref="G286" ca="1">INDIRECT(ADDRESS(myRAND(1,G$2,G$8:G$9)+5,G$1))</f>
        <v>0</v>
      </c>
      <c r="H286" cm="1">
        <f t="array" aca="1" ref="H286" ca="1">INDIRECT(ADDRESS(myRAND(1,H$2,H$8:H$9)+5,H$1))</f>
        <v>0</v>
      </c>
      <c r="I286" cm="1">
        <f t="array" aca="1" ref="I286" ca="1">INDIRECT(ADDRESS(myRAND(1,I$2,I$8:I$9)+5,I$1))</f>
        <v>1</v>
      </c>
      <c r="J286">
        <f t="shared" ca="1" si="44"/>
        <v>17</v>
      </c>
      <c r="K286">
        <f t="shared" ca="1" si="44"/>
        <v>214</v>
      </c>
      <c r="L286" s="3">
        <f t="shared" ca="1" si="46"/>
        <v>3</v>
      </c>
      <c r="M286" s="13">
        <f t="shared" ca="1" si="47"/>
        <v>0.72111517802286307</v>
      </c>
      <c r="N286">
        <f t="shared" ca="1" si="48"/>
        <v>0.95</v>
      </c>
      <c r="O286">
        <f t="shared" ca="1" si="49"/>
        <v>0</v>
      </c>
      <c r="P286">
        <f t="shared" ca="1" si="50"/>
        <v>1</v>
      </c>
      <c r="Q286">
        <f t="shared" ca="1" si="51"/>
        <v>0</v>
      </c>
      <c r="R286">
        <f t="shared" ca="1" si="52"/>
        <v>0</v>
      </c>
      <c r="S286">
        <f t="shared" ca="1" si="53"/>
        <v>1</v>
      </c>
      <c r="T286" s="17">
        <f t="shared" ca="1" si="54"/>
        <v>5.9961904761904758</v>
      </c>
    </row>
    <row r="287" spans="2:20" x14ac:dyDescent="0.3">
      <c r="B287">
        <f t="shared" ca="1" si="45"/>
        <v>62</v>
      </c>
      <c r="C287" cm="1">
        <f t="array" aca="1" ref="C287" ca="1">INDIRECT(ADDRESS(myRAND(1,C$2,C$8:C$9)+5,C$1))</f>
        <v>1</v>
      </c>
      <c r="D287" cm="1">
        <f t="array" aca="1" ref="D287" ca="1">INDIRECT(ADDRESS(myRAND(1,D$2,D$8:D$9)+5,D$1))</f>
        <v>1</v>
      </c>
      <c r="E287" cm="1">
        <f t="array" aca="1" ref="E287" ca="1">INDIRECT(ADDRESS(myRAND(1,E$2,E$8:E$9)+5,E$1))</f>
        <v>0</v>
      </c>
      <c r="F287" cm="1">
        <f t="array" aca="1" ref="F287" ca="1">INDIRECT(ADDRESS(myRAND(1,F$2,F$8:F$9)+5,F$1))</f>
        <v>1</v>
      </c>
      <c r="G287" cm="1">
        <f t="array" aca="1" ref="G287" ca="1">INDIRECT(ADDRESS(myRAND(1,G$2,G$8:G$9)+5,G$1))</f>
        <v>0</v>
      </c>
      <c r="H287" cm="1">
        <f t="array" aca="1" ref="H287" ca="1">INDIRECT(ADDRESS(myRAND(1,H$2,H$8:H$9)+5,H$1))</f>
        <v>0</v>
      </c>
      <c r="I287" cm="1">
        <f t="array" aca="1" ref="I287" ca="1">INDIRECT(ADDRESS(myRAND(1,I$2,I$8:I$9)+5,I$1))</f>
        <v>0</v>
      </c>
      <c r="J287">
        <f t="shared" ca="1" si="44"/>
        <v>14</v>
      </c>
      <c r="K287">
        <f t="shared" ca="1" si="44"/>
        <v>206</v>
      </c>
      <c r="L287" s="3">
        <f t="shared" ca="1" si="46"/>
        <v>3</v>
      </c>
      <c r="M287" s="13">
        <f t="shared" ca="1" si="47"/>
        <v>0.79412962819905253</v>
      </c>
      <c r="N287">
        <f t="shared" ca="1" si="48"/>
        <v>1.3499999999999999</v>
      </c>
      <c r="O287">
        <f t="shared" ca="1" si="49"/>
        <v>0</v>
      </c>
      <c r="P287">
        <f t="shared" ca="1" si="50"/>
        <v>1</v>
      </c>
      <c r="Q287">
        <f t="shared" ca="1" si="51"/>
        <v>0</v>
      </c>
      <c r="R287">
        <f t="shared" ca="1" si="52"/>
        <v>0</v>
      </c>
      <c r="S287">
        <f t="shared" ca="1" si="53"/>
        <v>0</v>
      </c>
      <c r="T287" s="17">
        <f t="shared" ca="1" si="54"/>
        <v>2.8580952380952382</v>
      </c>
    </row>
    <row r="288" spans="2:20" x14ac:dyDescent="0.3">
      <c r="B288">
        <f t="shared" ca="1" si="45"/>
        <v>53</v>
      </c>
      <c r="C288" cm="1">
        <f t="array" aca="1" ref="C288" ca="1">INDIRECT(ADDRESS(myRAND(1,C$2,C$8:C$9)+5,C$1))</f>
        <v>1</v>
      </c>
      <c r="D288" cm="1">
        <f t="array" aca="1" ref="D288" ca="1">INDIRECT(ADDRESS(myRAND(1,D$2,D$8:D$9)+5,D$1))</f>
        <v>0</v>
      </c>
      <c r="E288" cm="1">
        <f t="array" aca="1" ref="E288" ca="1">INDIRECT(ADDRESS(myRAND(1,E$2,E$8:E$9)+5,E$1))</f>
        <v>0</v>
      </c>
      <c r="F288" cm="1">
        <f t="array" aca="1" ref="F288" ca="1">INDIRECT(ADDRESS(myRAND(1,F$2,F$8:F$9)+5,F$1))</f>
        <v>1</v>
      </c>
      <c r="G288" cm="1">
        <f t="array" aca="1" ref="G288" ca="1">INDIRECT(ADDRESS(myRAND(1,G$2,G$8:G$9)+5,G$1))</f>
        <v>0</v>
      </c>
      <c r="H288" cm="1">
        <f t="array" aca="1" ref="H288" ca="1">INDIRECT(ADDRESS(myRAND(1,H$2,H$8:H$9)+5,H$1))</f>
        <v>0</v>
      </c>
      <c r="I288" cm="1">
        <f t="array" aca="1" ref="I288" ca="1">INDIRECT(ADDRESS(myRAND(1,I$2,I$8:I$9)+5,I$1))</f>
        <v>0</v>
      </c>
      <c r="J288">
        <f t="shared" ca="1" si="44"/>
        <v>21</v>
      </c>
      <c r="K288">
        <f t="shared" ca="1" si="44"/>
        <v>199</v>
      </c>
      <c r="L288" s="3">
        <f t="shared" ca="1" si="46"/>
        <v>2</v>
      </c>
      <c r="M288" s="13">
        <f t="shared" ca="1" si="47"/>
        <v>0.28699983724771833</v>
      </c>
      <c r="N288">
        <f t="shared" ca="1" si="48"/>
        <v>-0.90999999999999992</v>
      </c>
      <c r="O288">
        <f t="shared" ca="1" si="49"/>
        <v>0</v>
      </c>
      <c r="P288">
        <f t="shared" ca="1" si="50"/>
        <v>0</v>
      </c>
      <c r="Q288">
        <f t="shared" ca="1" si="51"/>
        <v>1</v>
      </c>
      <c r="R288">
        <f t="shared" ca="1" si="52"/>
        <v>0</v>
      </c>
      <c r="S288">
        <f t="shared" ca="1" si="53"/>
        <v>0</v>
      </c>
      <c r="T288" s="17">
        <f t="shared" ca="1" si="54"/>
        <v>3.2014285714285715</v>
      </c>
    </row>
    <row r="289" spans="2:20" x14ac:dyDescent="0.3">
      <c r="B289">
        <f t="shared" ca="1" si="45"/>
        <v>61</v>
      </c>
      <c r="C289" cm="1">
        <f t="array" aca="1" ref="C289" ca="1">INDIRECT(ADDRESS(myRAND(1,C$2,C$8:C$9)+5,C$1))</f>
        <v>0</v>
      </c>
      <c r="D289" cm="1">
        <f t="array" aca="1" ref="D289" ca="1">INDIRECT(ADDRESS(myRAND(1,D$2,D$8:D$9)+5,D$1))</f>
        <v>0</v>
      </c>
      <c r="E289" cm="1">
        <f t="array" aca="1" ref="E289" ca="1">INDIRECT(ADDRESS(myRAND(1,E$2,E$8:E$9)+5,E$1))</f>
        <v>1</v>
      </c>
      <c r="F289" cm="1">
        <f t="array" aca="1" ref="F289" ca="1">INDIRECT(ADDRESS(myRAND(1,F$2,F$8:F$9)+5,F$1))</f>
        <v>0</v>
      </c>
      <c r="G289" cm="1">
        <f t="array" aca="1" ref="G289" ca="1">INDIRECT(ADDRESS(myRAND(1,G$2,G$8:G$9)+5,G$1))</f>
        <v>1</v>
      </c>
      <c r="H289" cm="1">
        <f t="array" aca="1" ref="H289" ca="1">INDIRECT(ADDRESS(myRAND(1,H$2,H$8:H$9)+5,H$1))</f>
        <v>1</v>
      </c>
      <c r="I289" cm="1">
        <f t="array" aca="1" ref="I289" ca="1">INDIRECT(ADDRESS(myRAND(1,I$2,I$8:I$9)+5,I$1))</f>
        <v>0</v>
      </c>
      <c r="J289">
        <f t="shared" ca="1" si="44"/>
        <v>19</v>
      </c>
      <c r="K289">
        <f t="shared" ca="1" si="44"/>
        <v>244</v>
      </c>
      <c r="L289" s="3">
        <f t="shared" ca="1" si="46"/>
        <v>1</v>
      </c>
      <c r="M289" s="13">
        <f t="shared" ca="1" si="47"/>
        <v>0.12675058012214077</v>
      </c>
      <c r="N289">
        <f t="shared" ca="1" si="48"/>
        <v>-1.9300000000000002</v>
      </c>
      <c r="O289">
        <f t="shared" ca="1" si="49"/>
        <v>0</v>
      </c>
      <c r="P289">
        <f t="shared" ca="1" si="50"/>
        <v>0</v>
      </c>
      <c r="Q289">
        <f t="shared" ca="1" si="51"/>
        <v>1</v>
      </c>
      <c r="R289">
        <f t="shared" ca="1" si="52"/>
        <v>0</v>
      </c>
      <c r="S289">
        <f t="shared" ca="1" si="53"/>
        <v>2</v>
      </c>
      <c r="T289" s="17">
        <f t="shared" ca="1" si="54"/>
        <v>2.3623809523809522</v>
      </c>
    </row>
    <row r="290" spans="2:20" x14ac:dyDescent="0.3">
      <c r="B290">
        <f t="shared" ca="1" si="45"/>
        <v>63</v>
      </c>
      <c r="C290" cm="1">
        <f t="array" aca="1" ref="C290" ca="1">INDIRECT(ADDRESS(myRAND(1,C$2,C$8:C$9)+5,C$1))</f>
        <v>0</v>
      </c>
      <c r="D290" cm="1">
        <f t="array" aca="1" ref="D290" ca="1">INDIRECT(ADDRESS(myRAND(1,D$2,D$8:D$9)+5,D$1))</f>
        <v>0</v>
      </c>
      <c r="E290" cm="1">
        <f t="array" aca="1" ref="E290" ca="1">INDIRECT(ADDRESS(myRAND(1,E$2,E$8:E$9)+5,E$1))</f>
        <v>1</v>
      </c>
      <c r="F290" cm="1">
        <f t="array" aca="1" ref="F290" ca="1">INDIRECT(ADDRESS(myRAND(1,F$2,F$8:F$9)+5,F$1))</f>
        <v>0</v>
      </c>
      <c r="G290" cm="1">
        <f t="array" aca="1" ref="G290" ca="1">INDIRECT(ADDRESS(myRAND(1,G$2,G$8:G$9)+5,G$1))</f>
        <v>0</v>
      </c>
      <c r="H290" cm="1">
        <f t="array" aca="1" ref="H290" ca="1">INDIRECT(ADDRESS(myRAND(1,H$2,H$8:H$9)+5,H$1))</f>
        <v>1</v>
      </c>
      <c r="I290" cm="1">
        <f t="array" aca="1" ref="I290" ca="1">INDIRECT(ADDRESS(myRAND(1,I$2,I$8:I$9)+5,I$1))</f>
        <v>0</v>
      </c>
      <c r="J290">
        <f t="shared" ca="1" si="44"/>
        <v>15</v>
      </c>
      <c r="K290">
        <f t="shared" ca="1" si="44"/>
        <v>191</v>
      </c>
      <c r="L290" s="3">
        <f t="shared" ca="1" si="46"/>
        <v>1</v>
      </c>
      <c r="M290" s="13">
        <f t="shared" ca="1" si="47"/>
        <v>0.13587289700909427</v>
      </c>
      <c r="N290">
        <f t="shared" ca="1" si="48"/>
        <v>-1.85</v>
      </c>
      <c r="O290">
        <f t="shared" ca="1" si="49"/>
        <v>0</v>
      </c>
      <c r="P290">
        <f t="shared" ca="1" si="50"/>
        <v>0</v>
      </c>
      <c r="Q290">
        <f t="shared" ca="1" si="51"/>
        <v>1</v>
      </c>
      <c r="R290">
        <f t="shared" ca="1" si="52"/>
        <v>0</v>
      </c>
      <c r="S290">
        <f t="shared" ca="1" si="53"/>
        <v>1</v>
      </c>
      <c r="T290" s="17">
        <f t="shared" ca="1" si="54"/>
        <v>1.8633333333333333</v>
      </c>
    </row>
    <row r="291" spans="2:20" x14ac:dyDescent="0.3">
      <c r="B291">
        <f t="shared" ca="1" si="45"/>
        <v>56</v>
      </c>
      <c r="C291" cm="1">
        <f t="array" aca="1" ref="C291" ca="1">INDIRECT(ADDRESS(myRAND(1,C$2,C$8:C$9)+5,C$1))</f>
        <v>1</v>
      </c>
      <c r="D291" cm="1">
        <f t="array" aca="1" ref="D291" ca="1">INDIRECT(ADDRESS(myRAND(1,D$2,D$8:D$9)+5,D$1))</f>
        <v>0</v>
      </c>
      <c r="E291" cm="1">
        <f t="array" aca="1" ref="E291" ca="1">INDIRECT(ADDRESS(myRAND(1,E$2,E$8:E$9)+5,E$1))</f>
        <v>0</v>
      </c>
      <c r="F291" cm="1">
        <f t="array" aca="1" ref="F291" ca="1">INDIRECT(ADDRESS(myRAND(1,F$2,F$8:F$9)+5,F$1))</f>
        <v>0</v>
      </c>
      <c r="G291" cm="1">
        <f t="array" aca="1" ref="G291" ca="1">INDIRECT(ADDRESS(myRAND(1,G$2,G$8:G$9)+5,G$1))</f>
        <v>0</v>
      </c>
      <c r="H291" cm="1">
        <f t="array" aca="1" ref="H291" ca="1">INDIRECT(ADDRESS(myRAND(1,H$2,H$8:H$9)+5,H$1))</f>
        <v>0</v>
      </c>
      <c r="I291" cm="1">
        <f t="array" aca="1" ref="I291" ca="1">INDIRECT(ADDRESS(myRAND(1,I$2,I$8:I$9)+5,I$1))</f>
        <v>0</v>
      </c>
      <c r="J291">
        <f t="shared" ca="1" si="44"/>
        <v>20</v>
      </c>
      <c r="K291">
        <f t="shared" ca="1" si="44"/>
        <v>218</v>
      </c>
      <c r="L291" s="3">
        <f t="shared" ca="1" si="46"/>
        <v>3</v>
      </c>
      <c r="M291" s="13">
        <f t="shared" ca="1" si="47"/>
        <v>0.31216866941715965</v>
      </c>
      <c r="N291">
        <f t="shared" ca="1" si="48"/>
        <v>-0.78999999999999981</v>
      </c>
      <c r="O291">
        <f t="shared" ca="1" si="49"/>
        <v>0</v>
      </c>
      <c r="P291">
        <f t="shared" ca="1" si="50"/>
        <v>0</v>
      </c>
      <c r="Q291">
        <f t="shared" ca="1" si="51"/>
        <v>0</v>
      </c>
      <c r="R291">
        <f t="shared" ca="1" si="52"/>
        <v>1</v>
      </c>
      <c r="S291">
        <f t="shared" ca="1" si="53"/>
        <v>0</v>
      </c>
      <c r="T291" s="17">
        <f t="shared" ca="1" si="54"/>
        <v>3.255238095238095</v>
      </c>
    </row>
    <row r="292" spans="2:20" x14ac:dyDescent="0.3">
      <c r="B292">
        <f t="shared" ca="1" si="45"/>
        <v>48</v>
      </c>
      <c r="C292" cm="1">
        <f t="array" aca="1" ref="C292" ca="1">INDIRECT(ADDRESS(myRAND(1,C$2,C$8:C$9)+5,C$1))</f>
        <v>1</v>
      </c>
      <c r="D292" cm="1">
        <f t="array" aca="1" ref="D292" ca="1">INDIRECT(ADDRESS(myRAND(1,D$2,D$8:D$9)+5,D$1))</f>
        <v>0</v>
      </c>
      <c r="E292" cm="1">
        <f t="array" aca="1" ref="E292" ca="1">INDIRECT(ADDRESS(myRAND(1,E$2,E$8:E$9)+5,E$1))</f>
        <v>1</v>
      </c>
      <c r="F292" cm="1">
        <f t="array" aca="1" ref="F292" ca="1">INDIRECT(ADDRESS(myRAND(1,F$2,F$8:F$9)+5,F$1))</f>
        <v>1</v>
      </c>
      <c r="G292" cm="1">
        <f t="array" aca="1" ref="G292" ca="1">INDIRECT(ADDRESS(myRAND(1,G$2,G$8:G$9)+5,G$1))</f>
        <v>0</v>
      </c>
      <c r="H292" cm="1">
        <f t="array" aca="1" ref="H292" ca="1">INDIRECT(ADDRESS(myRAND(1,H$2,H$8:H$9)+5,H$1))</f>
        <v>0</v>
      </c>
      <c r="I292" cm="1">
        <f t="array" aca="1" ref="I292" ca="1">INDIRECT(ADDRESS(myRAND(1,I$2,I$8:I$9)+5,I$1))</f>
        <v>0</v>
      </c>
      <c r="J292">
        <f t="shared" ca="1" si="44"/>
        <v>12</v>
      </c>
      <c r="K292">
        <f t="shared" ca="1" si="44"/>
        <v>187</v>
      </c>
      <c r="L292" s="3">
        <f t="shared" ca="1" si="46"/>
        <v>3</v>
      </c>
      <c r="M292" s="13">
        <f t="shared" ca="1" si="47"/>
        <v>0.68783133058284041</v>
      </c>
      <c r="N292">
        <f t="shared" ca="1" si="48"/>
        <v>0.78999999999999981</v>
      </c>
      <c r="O292">
        <f t="shared" ca="1" si="49"/>
        <v>0</v>
      </c>
      <c r="P292">
        <f t="shared" ca="1" si="50"/>
        <v>1</v>
      </c>
      <c r="Q292">
        <f t="shared" ca="1" si="51"/>
        <v>0</v>
      </c>
      <c r="R292">
        <f t="shared" ca="1" si="52"/>
        <v>0</v>
      </c>
      <c r="S292">
        <f t="shared" ca="1" si="53"/>
        <v>0</v>
      </c>
      <c r="T292" s="17">
        <f t="shared" ca="1" si="54"/>
        <v>2.4942857142857147</v>
      </c>
    </row>
    <row r="293" spans="2:20" x14ac:dyDescent="0.3">
      <c r="B293">
        <f t="shared" ca="1" si="45"/>
        <v>40</v>
      </c>
      <c r="C293" cm="1">
        <f t="array" aca="1" ref="C293" ca="1">INDIRECT(ADDRESS(myRAND(1,C$2,C$8:C$9)+5,C$1))</f>
        <v>1</v>
      </c>
      <c r="D293" cm="1">
        <f t="array" aca="1" ref="D293" ca="1">INDIRECT(ADDRESS(myRAND(1,D$2,D$8:D$9)+5,D$1))</f>
        <v>1</v>
      </c>
      <c r="E293" cm="1">
        <f t="array" aca="1" ref="E293" ca="1">INDIRECT(ADDRESS(myRAND(1,E$2,E$8:E$9)+5,E$1))</f>
        <v>0</v>
      </c>
      <c r="F293" cm="1">
        <f t="array" aca="1" ref="F293" ca="1">INDIRECT(ADDRESS(myRAND(1,F$2,F$8:F$9)+5,F$1))</f>
        <v>1</v>
      </c>
      <c r="G293" cm="1">
        <f t="array" aca="1" ref="G293" ca="1">INDIRECT(ADDRESS(myRAND(1,G$2,G$8:G$9)+5,G$1))</f>
        <v>0</v>
      </c>
      <c r="H293" cm="1">
        <f t="array" aca="1" ref="H293" ca="1">INDIRECT(ADDRESS(myRAND(1,H$2,H$8:H$9)+5,H$1))</f>
        <v>1</v>
      </c>
      <c r="I293" cm="1">
        <f t="array" aca="1" ref="I293" ca="1">INDIRECT(ADDRESS(myRAND(1,I$2,I$8:I$9)+5,I$1))</f>
        <v>0</v>
      </c>
      <c r="J293">
        <f t="shared" ca="1" si="44"/>
        <v>15</v>
      </c>
      <c r="K293">
        <f t="shared" ca="1" si="44"/>
        <v>236</v>
      </c>
      <c r="L293" s="3">
        <f t="shared" ca="1" si="46"/>
        <v>3</v>
      </c>
      <c r="M293" s="13">
        <f t="shared" ca="1" si="47"/>
        <v>0.61538375639118215</v>
      </c>
      <c r="N293">
        <f t="shared" ca="1" si="48"/>
        <v>0.47</v>
      </c>
      <c r="O293">
        <f t="shared" ca="1" si="49"/>
        <v>0</v>
      </c>
      <c r="P293">
        <f t="shared" ca="1" si="50"/>
        <v>1</v>
      </c>
      <c r="Q293">
        <f t="shared" ca="1" si="51"/>
        <v>0</v>
      </c>
      <c r="R293">
        <f t="shared" ca="1" si="52"/>
        <v>0</v>
      </c>
      <c r="S293">
        <f t="shared" ca="1" si="53"/>
        <v>1</v>
      </c>
      <c r="T293" s="17">
        <f t="shared" ca="1" si="54"/>
        <v>2.8476190476190477</v>
      </c>
    </row>
    <row r="294" spans="2:20" x14ac:dyDescent="0.3">
      <c r="B294">
        <f t="shared" ca="1" si="45"/>
        <v>59</v>
      </c>
      <c r="C294" cm="1">
        <f t="array" aca="1" ref="C294" ca="1">INDIRECT(ADDRESS(myRAND(1,C$2,C$8:C$9)+5,C$1))</f>
        <v>0</v>
      </c>
      <c r="D294" cm="1">
        <f t="array" aca="1" ref="D294" ca="1">INDIRECT(ADDRESS(myRAND(1,D$2,D$8:D$9)+5,D$1))</f>
        <v>1</v>
      </c>
      <c r="E294" cm="1">
        <f t="array" aca="1" ref="E294" ca="1">INDIRECT(ADDRESS(myRAND(1,E$2,E$8:E$9)+5,E$1))</f>
        <v>1</v>
      </c>
      <c r="F294" cm="1">
        <f t="array" aca="1" ref="F294" ca="1">INDIRECT(ADDRESS(myRAND(1,F$2,F$8:F$9)+5,F$1))</f>
        <v>0</v>
      </c>
      <c r="G294" cm="1">
        <f t="array" aca="1" ref="G294" ca="1">INDIRECT(ADDRESS(myRAND(1,G$2,G$8:G$9)+5,G$1))</f>
        <v>0</v>
      </c>
      <c r="H294" cm="1">
        <f t="array" aca="1" ref="H294" ca="1">INDIRECT(ADDRESS(myRAND(1,H$2,H$8:H$9)+5,H$1))</f>
        <v>0</v>
      </c>
      <c r="I294" cm="1">
        <f t="array" aca="1" ref="I294" ca="1">INDIRECT(ADDRESS(myRAND(1,I$2,I$8:I$9)+5,I$1))</f>
        <v>0</v>
      </c>
      <c r="J294">
        <f t="shared" ca="1" si="44"/>
        <v>10</v>
      </c>
      <c r="K294">
        <f t="shared" ca="1" si="44"/>
        <v>221</v>
      </c>
      <c r="L294" s="3">
        <f t="shared" ca="1" si="46"/>
        <v>3</v>
      </c>
      <c r="M294" s="13">
        <f t="shared" ca="1" si="47"/>
        <v>0.47252769565540614</v>
      </c>
      <c r="N294">
        <f t="shared" ca="1" si="48"/>
        <v>-0.11000000000000032</v>
      </c>
      <c r="O294">
        <f t="shared" ca="1" si="49"/>
        <v>0</v>
      </c>
      <c r="P294">
        <f t="shared" ca="1" si="50"/>
        <v>1</v>
      </c>
      <c r="Q294">
        <f t="shared" ca="1" si="51"/>
        <v>0</v>
      </c>
      <c r="R294">
        <f t="shared" ca="1" si="52"/>
        <v>0</v>
      </c>
      <c r="S294">
        <f t="shared" ca="1" si="53"/>
        <v>0</v>
      </c>
      <c r="T294" s="17">
        <f t="shared" ca="1" si="54"/>
        <v>1.6328571428571428</v>
      </c>
    </row>
    <row r="295" spans="2:20" x14ac:dyDescent="0.3">
      <c r="B295">
        <f t="shared" ca="1" si="45"/>
        <v>51</v>
      </c>
      <c r="C295" cm="1">
        <f t="array" aca="1" ref="C295" ca="1">INDIRECT(ADDRESS(myRAND(1,C$2,C$8:C$9)+5,C$1))</f>
        <v>1</v>
      </c>
      <c r="D295" cm="1">
        <f t="array" aca="1" ref="D295" ca="1">INDIRECT(ADDRESS(myRAND(1,D$2,D$8:D$9)+5,D$1))</f>
        <v>0</v>
      </c>
      <c r="E295" cm="1">
        <f t="array" aca="1" ref="E295" ca="1">INDIRECT(ADDRESS(myRAND(1,E$2,E$8:E$9)+5,E$1))</f>
        <v>1</v>
      </c>
      <c r="F295" cm="1">
        <f t="array" aca="1" ref="F295" ca="1">INDIRECT(ADDRESS(myRAND(1,F$2,F$8:F$9)+5,F$1))</f>
        <v>1</v>
      </c>
      <c r="G295" cm="1">
        <f t="array" aca="1" ref="G295" ca="1">INDIRECT(ADDRESS(myRAND(1,G$2,G$8:G$9)+5,G$1))</f>
        <v>0</v>
      </c>
      <c r="H295" cm="1">
        <f t="array" aca="1" ref="H295" ca="1">INDIRECT(ADDRESS(myRAND(1,H$2,H$8:H$9)+5,H$1))</f>
        <v>1</v>
      </c>
      <c r="I295" cm="1">
        <f t="array" aca="1" ref="I295" ca="1">INDIRECT(ADDRESS(myRAND(1,I$2,I$8:I$9)+5,I$1))</f>
        <v>0</v>
      </c>
      <c r="J295">
        <f t="shared" ca="1" si="44"/>
        <v>15</v>
      </c>
      <c r="K295">
        <f t="shared" ca="1" si="44"/>
        <v>204</v>
      </c>
      <c r="L295" s="3">
        <f t="shared" ca="1" si="46"/>
        <v>3</v>
      </c>
      <c r="M295" s="13">
        <f t="shared" ca="1" si="47"/>
        <v>0.71300016275228162</v>
      </c>
      <c r="N295">
        <f t="shared" ca="1" si="48"/>
        <v>0.90999999999999992</v>
      </c>
      <c r="O295">
        <f t="shared" ca="1" si="49"/>
        <v>0</v>
      </c>
      <c r="P295">
        <f t="shared" ca="1" si="50"/>
        <v>1</v>
      </c>
      <c r="Q295">
        <f t="shared" ca="1" si="51"/>
        <v>0</v>
      </c>
      <c r="R295">
        <f t="shared" ca="1" si="52"/>
        <v>0</v>
      </c>
      <c r="S295">
        <f t="shared" ca="1" si="53"/>
        <v>1</v>
      </c>
      <c r="T295" s="17">
        <f t="shared" ca="1" si="54"/>
        <v>2.8052380952380953</v>
      </c>
    </row>
    <row r="296" spans="2:20" x14ac:dyDescent="0.3">
      <c r="B296">
        <f t="shared" ca="1" si="45"/>
        <v>44</v>
      </c>
      <c r="C296" cm="1">
        <f t="array" aca="1" ref="C296" ca="1">INDIRECT(ADDRESS(myRAND(1,C$2,C$8:C$9)+5,C$1))</f>
        <v>0</v>
      </c>
      <c r="D296" cm="1">
        <f t="array" aca="1" ref="D296" ca="1">INDIRECT(ADDRESS(myRAND(1,D$2,D$8:D$9)+5,D$1))</f>
        <v>0</v>
      </c>
      <c r="E296" cm="1">
        <f t="array" aca="1" ref="E296" ca="1">INDIRECT(ADDRESS(myRAND(1,E$2,E$8:E$9)+5,E$1))</f>
        <v>1</v>
      </c>
      <c r="F296" cm="1">
        <f t="array" aca="1" ref="F296" ca="1">INDIRECT(ADDRESS(myRAND(1,F$2,F$8:F$9)+5,F$1))</f>
        <v>0</v>
      </c>
      <c r="G296" cm="1">
        <f t="array" aca="1" ref="G296" ca="1">INDIRECT(ADDRESS(myRAND(1,G$2,G$8:G$9)+5,G$1))</f>
        <v>0</v>
      </c>
      <c r="H296" cm="1">
        <f t="array" aca="1" ref="H296" ca="1">INDIRECT(ADDRESS(myRAND(1,H$2,H$8:H$9)+5,H$1))</f>
        <v>0</v>
      </c>
      <c r="I296" cm="1">
        <f t="array" aca="1" ref="I296" ca="1">INDIRECT(ADDRESS(myRAND(1,I$2,I$8:I$9)+5,I$1))</f>
        <v>1</v>
      </c>
      <c r="J296">
        <f t="shared" ca="1" si="44"/>
        <v>11</v>
      </c>
      <c r="K296">
        <f t="shared" ca="1" si="44"/>
        <v>199</v>
      </c>
      <c r="L296" s="3">
        <f t="shared" ca="1" si="46"/>
        <v>1</v>
      </c>
      <c r="M296" s="13">
        <f t="shared" ca="1" si="47"/>
        <v>6.8497603724326075E-2</v>
      </c>
      <c r="N296">
        <f t="shared" ca="1" si="48"/>
        <v>-2.6100000000000003</v>
      </c>
      <c r="O296">
        <f t="shared" ca="1" si="49"/>
        <v>0</v>
      </c>
      <c r="P296">
        <f t="shared" ca="1" si="50"/>
        <v>0</v>
      </c>
      <c r="Q296">
        <f t="shared" ca="1" si="51"/>
        <v>1</v>
      </c>
      <c r="R296">
        <f t="shared" ca="1" si="52"/>
        <v>0</v>
      </c>
      <c r="S296">
        <f t="shared" ca="1" si="53"/>
        <v>1</v>
      </c>
      <c r="T296" s="17">
        <f t="shared" ca="1" si="54"/>
        <v>4.4447619047619042</v>
      </c>
    </row>
    <row r="297" spans="2:20" x14ac:dyDescent="0.3">
      <c r="B297">
        <f t="shared" ca="1" si="45"/>
        <v>49</v>
      </c>
      <c r="C297" cm="1">
        <f t="array" aca="1" ref="C297" ca="1">INDIRECT(ADDRESS(myRAND(1,C$2,C$8:C$9)+5,C$1))</f>
        <v>0</v>
      </c>
      <c r="D297" cm="1">
        <f t="array" aca="1" ref="D297" ca="1">INDIRECT(ADDRESS(myRAND(1,D$2,D$8:D$9)+5,D$1))</f>
        <v>0</v>
      </c>
      <c r="E297" cm="1">
        <f t="array" aca="1" ref="E297" ca="1">INDIRECT(ADDRESS(myRAND(1,E$2,E$8:E$9)+5,E$1))</f>
        <v>0</v>
      </c>
      <c r="F297" cm="1">
        <f t="array" aca="1" ref="F297" ca="1">INDIRECT(ADDRESS(myRAND(1,F$2,F$8:F$9)+5,F$1))</f>
        <v>0</v>
      </c>
      <c r="G297" cm="1">
        <f t="array" aca="1" ref="G297" ca="1">INDIRECT(ADDRESS(myRAND(1,G$2,G$8:G$9)+5,G$1))</f>
        <v>0</v>
      </c>
      <c r="H297" cm="1">
        <f t="array" aca="1" ref="H297" ca="1">INDIRECT(ADDRESS(myRAND(1,H$2,H$8:H$9)+5,H$1))</f>
        <v>0</v>
      </c>
      <c r="I297" cm="1">
        <f t="array" aca="1" ref="I297" ca="1">INDIRECT(ADDRESS(myRAND(1,I$2,I$8:I$9)+5,I$1))</f>
        <v>0</v>
      </c>
      <c r="J297">
        <f t="shared" ca="1" si="44"/>
        <v>16</v>
      </c>
      <c r="K297">
        <f t="shared" ca="1" si="44"/>
        <v>231</v>
      </c>
      <c r="L297" s="3">
        <f t="shared" ca="1" si="46"/>
        <v>1</v>
      </c>
      <c r="M297" s="13">
        <f t="shared" ca="1" si="47"/>
        <v>8.2413318127912791E-2</v>
      </c>
      <c r="N297">
        <f t="shared" ca="1" si="48"/>
        <v>-2.41</v>
      </c>
      <c r="O297">
        <f t="shared" ca="1" si="49"/>
        <v>0</v>
      </c>
      <c r="P297">
        <f t="shared" ca="1" si="50"/>
        <v>0</v>
      </c>
      <c r="Q297">
        <f t="shared" ca="1" si="51"/>
        <v>0</v>
      </c>
      <c r="R297">
        <f t="shared" ca="1" si="52"/>
        <v>1</v>
      </c>
      <c r="S297">
        <f t="shared" ca="1" si="53"/>
        <v>0</v>
      </c>
      <c r="T297" s="17">
        <f t="shared" ca="1" si="54"/>
        <v>1.9804761904761905</v>
      </c>
    </row>
    <row r="298" spans="2:20" x14ac:dyDescent="0.3">
      <c r="B298">
        <f t="shared" ca="1" si="45"/>
        <v>59</v>
      </c>
      <c r="C298" cm="1">
        <f t="array" aca="1" ref="C298" ca="1">INDIRECT(ADDRESS(myRAND(1,C$2,C$8:C$9)+5,C$1))</f>
        <v>1</v>
      </c>
      <c r="D298" cm="1">
        <f t="array" aca="1" ref="D298" ca="1">INDIRECT(ADDRESS(myRAND(1,D$2,D$8:D$9)+5,D$1))</f>
        <v>0</v>
      </c>
      <c r="E298" cm="1">
        <f t="array" aca="1" ref="E298" ca="1">INDIRECT(ADDRESS(myRAND(1,E$2,E$8:E$9)+5,E$1))</f>
        <v>0</v>
      </c>
      <c r="F298" cm="1">
        <f t="array" aca="1" ref="F298" ca="1">INDIRECT(ADDRESS(myRAND(1,F$2,F$8:F$9)+5,F$1))</f>
        <v>1</v>
      </c>
      <c r="G298" cm="1">
        <f t="array" aca="1" ref="G298" ca="1">INDIRECT(ADDRESS(myRAND(1,G$2,G$8:G$9)+5,G$1))</f>
        <v>0</v>
      </c>
      <c r="H298" cm="1">
        <f t="array" aca="1" ref="H298" ca="1">INDIRECT(ADDRESS(myRAND(1,H$2,H$8:H$9)+5,H$1))</f>
        <v>0</v>
      </c>
      <c r="I298" cm="1">
        <f t="array" aca="1" ref="I298" ca="1">INDIRECT(ADDRESS(myRAND(1,I$2,I$8:I$9)+5,I$1))</f>
        <v>1</v>
      </c>
      <c r="J298">
        <f t="shared" ca="1" si="44"/>
        <v>11</v>
      </c>
      <c r="K298">
        <f t="shared" ca="1" si="44"/>
        <v>193</v>
      </c>
      <c r="L298" s="3">
        <f t="shared" ca="1" si="46"/>
        <v>2</v>
      </c>
      <c r="M298" s="13">
        <f t="shared" ca="1" si="47"/>
        <v>0.3384968407970475</v>
      </c>
      <c r="N298">
        <f t="shared" ca="1" si="48"/>
        <v>-0.67000000000000015</v>
      </c>
      <c r="O298">
        <f t="shared" ca="1" si="49"/>
        <v>0</v>
      </c>
      <c r="P298">
        <f t="shared" ca="1" si="50"/>
        <v>0</v>
      </c>
      <c r="Q298">
        <f t="shared" ca="1" si="51"/>
        <v>1</v>
      </c>
      <c r="R298">
        <f t="shared" ca="1" si="52"/>
        <v>0</v>
      </c>
      <c r="S298">
        <f t="shared" ca="1" si="53"/>
        <v>1</v>
      </c>
      <c r="T298" s="17">
        <f t="shared" ca="1" si="54"/>
        <v>5.5661904761904761</v>
      </c>
    </row>
    <row r="299" spans="2:20" x14ac:dyDescent="0.3">
      <c r="B299">
        <f t="shared" ca="1" si="45"/>
        <v>48</v>
      </c>
      <c r="C299" cm="1">
        <f t="array" aca="1" ref="C299" ca="1">INDIRECT(ADDRESS(myRAND(1,C$2,C$8:C$9)+5,C$1))</f>
        <v>0</v>
      </c>
      <c r="D299" cm="1">
        <f t="array" aca="1" ref="D299" ca="1">INDIRECT(ADDRESS(myRAND(1,D$2,D$8:D$9)+5,D$1))</f>
        <v>1</v>
      </c>
      <c r="E299" cm="1">
        <f t="array" aca="1" ref="E299" ca="1">INDIRECT(ADDRESS(myRAND(1,E$2,E$8:E$9)+5,E$1))</f>
        <v>1</v>
      </c>
      <c r="F299" cm="1">
        <f t="array" aca="1" ref="F299" ca="1">INDIRECT(ADDRESS(myRAND(1,F$2,F$8:F$9)+5,F$1))</f>
        <v>0</v>
      </c>
      <c r="G299" cm="1">
        <f t="array" aca="1" ref="G299" ca="1">INDIRECT(ADDRESS(myRAND(1,G$2,G$8:G$9)+5,G$1))</f>
        <v>0</v>
      </c>
      <c r="H299" cm="1">
        <f t="array" aca="1" ref="H299" ca="1">INDIRECT(ADDRESS(myRAND(1,H$2,H$8:H$9)+5,H$1))</f>
        <v>0</v>
      </c>
      <c r="I299" cm="1">
        <f t="array" aca="1" ref="I299" ca="1">INDIRECT(ADDRESS(myRAND(1,I$2,I$8:I$9)+5,I$1))</f>
        <v>0</v>
      </c>
      <c r="J299">
        <f t="shared" ca="1" si="44"/>
        <v>16</v>
      </c>
      <c r="K299">
        <f t="shared" ca="1" si="44"/>
        <v>205</v>
      </c>
      <c r="L299" s="3">
        <f t="shared" ca="1" si="46"/>
        <v>2</v>
      </c>
      <c r="M299" s="13">
        <f t="shared" ca="1" si="47"/>
        <v>0.3658644089891992</v>
      </c>
      <c r="N299">
        <f t="shared" ca="1" si="48"/>
        <v>-0.55000000000000027</v>
      </c>
      <c r="O299">
        <f t="shared" ca="1" si="49"/>
        <v>0</v>
      </c>
      <c r="P299">
        <f t="shared" ca="1" si="50"/>
        <v>1</v>
      </c>
      <c r="Q299">
        <f t="shared" ca="1" si="51"/>
        <v>0</v>
      </c>
      <c r="R299">
        <f t="shared" ca="1" si="52"/>
        <v>0</v>
      </c>
      <c r="S299">
        <f t="shared" ca="1" si="53"/>
        <v>0</v>
      </c>
      <c r="T299" s="17">
        <f t="shared" ca="1" si="54"/>
        <v>1.8466666666666667</v>
      </c>
    </row>
    <row r="300" spans="2:20" x14ac:dyDescent="0.3">
      <c r="B300">
        <f t="shared" ca="1" si="45"/>
        <v>34</v>
      </c>
      <c r="C300" cm="1">
        <f t="array" aca="1" ref="C300" ca="1">INDIRECT(ADDRESS(myRAND(1,C$2,C$8:C$9)+5,C$1))</f>
        <v>0</v>
      </c>
      <c r="D300" cm="1">
        <f t="array" aca="1" ref="D300" ca="1">INDIRECT(ADDRESS(myRAND(1,D$2,D$8:D$9)+5,D$1))</f>
        <v>0</v>
      </c>
      <c r="E300" cm="1">
        <f t="array" aca="1" ref="E300" ca="1">INDIRECT(ADDRESS(myRAND(1,E$2,E$8:E$9)+5,E$1))</f>
        <v>0</v>
      </c>
      <c r="F300" cm="1">
        <f t="array" aca="1" ref="F300" ca="1">INDIRECT(ADDRESS(myRAND(1,F$2,F$8:F$9)+5,F$1))</f>
        <v>1</v>
      </c>
      <c r="G300" cm="1">
        <f t="array" aca="1" ref="G300" ca="1">INDIRECT(ADDRESS(myRAND(1,G$2,G$8:G$9)+5,G$1))</f>
        <v>0</v>
      </c>
      <c r="H300" cm="1">
        <f t="array" aca="1" ref="H300" ca="1">INDIRECT(ADDRESS(myRAND(1,H$2,H$8:H$9)+5,H$1))</f>
        <v>0</v>
      </c>
      <c r="I300" cm="1">
        <f t="array" aca="1" ref="I300" ca="1">INDIRECT(ADDRESS(myRAND(1,I$2,I$8:I$9)+5,I$1))</f>
        <v>1</v>
      </c>
      <c r="J300">
        <f t="shared" ca="1" si="44"/>
        <v>14</v>
      </c>
      <c r="K300">
        <f t="shared" ca="1" si="44"/>
        <v>227</v>
      </c>
      <c r="L300" s="3">
        <f t="shared" ca="1" si="46"/>
        <v>1</v>
      </c>
      <c r="M300" s="13">
        <f t="shared" ca="1" si="47"/>
        <v>4.6976145678283544E-2</v>
      </c>
      <c r="N300">
        <f t="shared" ca="1" si="48"/>
        <v>-3.01</v>
      </c>
      <c r="O300">
        <f t="shared" ca="1" si="49"/>
        <v>0</v>
      </c>
      <c r="P300">
        <f t="shared" ca="1" si="50"/>
        <v>0</v>
      </c>
      <c r="Q300">
        <f t="shared" ca="1" si="51"/>
        <v>1</v>
      </c>
      <c r="R300">
        <f t="shared" ca="1" si="52"/>
        <v>0</v>
      </c>
      <c r="S300">
        <f t="shared" ca="1" si="53"/>
        <v>1</v>
      </c>
      <c r="T300" s="17">
        <f t="shared" ca="1" si="54"/>
        <v>4.6780952380952385</v>
      </c>
    </row>
    <row r="301" spans="2:20" x14ac:dyDescent="0.3">
      <c r="B301">
        <f t="shared" ca="1" si="45"/>
        <v>56</v>
      </c>
      <c r="C301" cm="1">
        <f t="array" aca="1" ref="C301" ca="1">INDIRECT(ADDRESS(myRAND(1,C$2,C$8:C$9)+5,C$1))</f>
        <v>0</v>
      </c>
      <c r="D301" cm="1">
        <f t="array" aca="1" ref="D301" ca="1">INDIRECT(ADDRESS(myRAND(1,D$2,D$8:D$9)+5,D$1))</f>
        <v>0</v>
      </c>
      <c r="E301" cm="1">
        <f t="array" aca="1" ref="E301" ca="1">INDIRECT(ADDRESS(myRAND(1,E$2,E$8:E$9)+5,E$1))</f>
        <v>0</v>
      </c>
      <c r="F301" cm="1">
        <f t="array" aca="1" ref="F301" ca="1">INDIRECT(ADDRESS(myRAND(1,F$2,F$8:F$9)+5,F$1))</f>
        <v>0</v>
      </c>
      <c r="G301" cm="1">
        <f t="array" aca="1" ref="G301" ca="1">INDIRECT(ADDRESS(myRAND(1,G$2,G$8:G$9)+5,G$1))</f>
        <v>0</v>
      </c>
      <c r="H301" cm="1">
        <f t="array" aca="1" ref="H301" ca="1">INDIRECT(ADDRESS(myRAND(1,H$2,H$8:H$9)+5,H$1))</f>
        <v>0</v>
      </c>
      <c r="I301" cm="1">
        <f t="array" aca="1" ref="I301" ca="1">INDIRECT(ADDRESS(myRAND(1,I$2,I$8:I$9)+5,I$1))</f>
        <v>1</v>
      </c>
      <c r="J301">
        <f t="shared" ca="1" si="44"/>
        <v>20</v>
      </c>
      <c r="K301">
        <f t="shared" ca="1" si="44"/>
        <v>248</v>
      </c>
      <c r="L301" s="3">
        <f t="shared" ca="1" si="46"/>
        <v>3</v>
      </c>
      <c r="M301" s="13">
        <f t="shared" ca="1" si="47"/>
        <v>0.10621499167517556</v>
      </c>
      <c r="N301">
        <f t="shared" ca="1" si="48"/>
        <v>-2.13</v>
      </c>
      <c r="O301">
        <f t="shared" ca="1" si="49"/>
        <v>0</v>
      </c>
      <c r="P301">
        <f t="shared" ca="1" si="50"/>
        <v>0</v>
      </c>
      <c r="Q301">
        <f t="shared" ca="1" si="51"/>
        <v>0</v>
      </c>
      <c r="R301">
        <f t="shared" ca="1" si="52"/>
        <v>1</v>
      </c>
      <c r="S301">
        <f t="shared" ca="1" si="53"/>
        <v>1</v>
      </c>
      <c r="T301" s="17">
        <f t="shared" ca="1" si="54"/>
        <v>5.3980952380952383</v>
      </c>
    </row>
    <row r="302" spans="2:20" x14ac:dyDescent="0.3">
      <c r="B302">
        <f t="shared" ca="1" si="45"/>
        <v>45</v>
      </c>
      <c r="C302" cm="1">
        <f t="array" aca="1" ref="C302" ca="1">INDIRECT(ADDRESS(myRAND(1,C$2,C$8:C$9)+5,C$1))</f>
        <v>1</v>
      </c>
      <c r="D302" cm="1">
        <f t="array" aca="1" ref="D302" ca="1">INDIRECT(ADDRESS(myRAND(1,D$2,D$8:D$9)+5,D$1))</f>
        <v>1</v>
      </c>
      <c r="E302" cm="1">
        <f t="array" aca="1" ref="E302" ca="1">INDIRECT(ADDRESS(myRAND(1,E$2,E$8:E$9)+5,E$1))</f>
        <v>0</v>
      </c>
      <c r="F302" cm="1">
        <f t="array" aca="1" ref="F302" ca="1">INDIRECT(ADDRESS(myRAND(1,F$2,F$8:F$9)+5,F$1))</f>
        <v>0</v>
      </c>
      <c r="G302" cm="1">
        <f t="array" aca="1" ref="G302" ca="1">INDIRECT(ADDRESS(myRAND(1,G$2,G$8:G$9)+5,G$1))</f>
        <v>0</v>
      </c>
      <c r="H302" cm="1">
        <f t="array" aca="1" ref="H302" ca="1">INDIRECT(ADDRESS(myRAND(1,H$2,H$8:H$9)+5,H$1))</f>
        <v>0</v>
      </c>
      <c r="I302" cm="1">
        <f t="array" aca="1" ref="I302" ca="1">INDIRECT(ADDRESS(myRAND(1,I$2,I$8:I$9)+5,I$1))</f>
        <v>1</v>
      </c>
      <c r="J302">
        <f t="shared" ca="1" si="44"/>
        <v>21</v>
      </c>
      <c r="K302">
        <f t="shared" ca="1" si="44"/>
        <v>200</v>
      </c>
      <c r="L302" s="3">
        <f t="shared" ca="1" si="46"/>
        <v>2</v>
      </c>
      <c r="M302" s="13">
        <f t="shared" ca="1" si="47"/>
        <v>0.22618142573054617</v>
      </c>
      <c r="N302">
        <f t="shared" ca="1" si="48"/>
        <v>-1.2300000000000002</v>
      </c>
      <c r="O302">
        <f t="shared" ca="1" si="49"/>
        <v>0</v>
      </c>
      <c r="P302">
        <f t="shared" ca="1" si="50"/>
        <v>0</v>
      </c>
      <c r="Q302">
        <f t="shared" ca="1" si="51"/>
        <v>1</v>
      </c>
      <c r="R302">
        <f t="shared" ca="1" si="52"/>
        <v>0</v>
      </c>
      <c r="S302">
        <f t="shared" ca="1" si="53"/>
        <v>1</v>
      </c>
      <c r="T302" s="17">
        <f t="shared" ca="1" si="54"/>
        <v>6.1261904761904766</v>
      </c>
    </row>
    <row r="303" spans="2:20" x14ac:dyDescent="0.3">
      <c r="B303">
        <f t="shared" ca="1" si="45"/>
        <v>61</v>
      </c>
      <c r="C303" cm="1">
        <f t="array" aca="1" ref="C303" ca="1">INDIRECT(ADDRESS(myRAND(1,C$2,C$8:C$9)+5,C$1))</f>
        <v>1</v>
      </c>
      <c r="D303" cm="1">
        <f t="array" aca="1" ref="D303" ca="1">INDIRECT(ADDRESS(myRAND(1,D$2,D$8:D$9)+5,D$1))</f>
        <v>0</v>
      </c>
      <c r="E303" cm="1">
        <f t="array" aca="1" ref="E303" ca="1">INDIRECT(ADDRESS(myRAND(1,E$2,E$8:E$9)+5,E$1))</f>
        <v>1</v>
      </c>
      <c r="F303" cm="1">
        <f t="array" aca="1" ref="F303" ca="1">INDIRECT(ADDRESS(myRAND(1,F$2,F$8:F$9)+5,F$1))</f>
        <v>1</v>
      </c>
      <c r="G303" cm="1">
        <f t="array" aca="1" ref="G303" ca="1">INDIRECT(ADDRESS(myRAND(1,G$2,G$8:G$9)+5,G$1))</f>
        <v>1</v>
      </c>
      <c r="H303" cm="1">
        <f t="array" aca="1" ref="H303" ca="1">INDIRECT(ADDRESS(myRAND(1,H$2,H$8:H$9)+5,H$1))</f>
        <v>1</v>
      </c>
      <c r="I303" cm="1">
        <f t="array" aca="1" ref="I303" ca="1">INDIRECT(ADDRESS(myRAND(1,I$2,I$8:I$9)+5,I$1))</f>
        <v>1</v>
      </c>
      <c r="J303">
        <f t="shared" ca="1" si="44"/>
        <v>15</v>
      </c>
      <c r="K303">
        <f t="shared" ca="1" si="44"/>
        <v>182</v>
      </c>
      <c r="L303" s="3">
        <f t="shared" ca="1" si="46"/>
        <v>3</v>
      </c>
      <c r="M303" s="13">
        <f t="shared" ca="1" si="47"/>
        <v>0.78751315587746085</v>
      </c>
      <c r="N303">
        <f t="shared" ca="1" si="48"/>
        <v>1.3099999999999998</v>
      </c>
      <c r="O303">
        <f t="shared" ca="1" si="49"/>
        <v>0</v>
      </c>
      <c r="P303">
        <f t="shared" ca="1" si="50"/>
        <v>1</v>
      </c>
      <c r="Q303">
        <f t="shared" ca="1" si="51"/>
        <v>0</v>
      </c>
      <c r="R303">
        <f t="shared" ca="1" si="52"/>
        <v>0</v>
      </c>
      <c r="S303">
        <f t="shared" ca="1" si="53"/>
        <v>3</v>
      </c>
      <c r="T303" s="17">
        <f t="shared" ca="1" si="54"/>
        <v>5.8004761904761901</v>
      </c>
    </row>
    <row r="304" spans="2:20" x14ac:dyDescent="0.3">
      <c r="B304">
        <f t="shared" ca="1" si="45"/>
        <v>20</v>
      </c>
      <c r="C304" cm="1">
        <f t="array" aca="1" ref="C304" ca="1">INDIRECT(ADDRESS(myRAND(1,C$2,C$8:C$9)+5,C$1))</f>
        <v>0</v>
      </c>
      <c r="D304" cm="1">
        <f t="array" aca="1" ref="D304" ca="1">INDIRECT(ADDRESS(myRAND(1,D$2,D$8:D$9)+5,D$1))</f>
        <v>0</v>
      </c>
      <c r="E304" cm="1">
        <f t="array" aca="1" ref="E304" ca="1">INDIRECT(ADDRESS(myRAND(1,E$2,E$8:E$9)+5,E$1))</f>
        <v>1</v>
      </c>
      <c r="F304" cm="1">
        <f t="array" aca="1" ref="F304" ca="1">INDIRECT(ADDRESS(myRAND(1,F$2,F$8:F$9)+5,F$1))</f>
        <v>1</v>
      </c>
      <c r="G304" cm="1">
        <f t="array" aca="1" ref="G304" ca="1">INDIRECT(ADDRESS(myRAND(1,G$2,G$8:G$9)+5,G$1))</f>
        <v>0</v>
      </c>
      <c r="H304" cm="1">
        <f t="array" aca="1" ref="H304" ca="1">INDIRECT(ADDRESS(myRAND(1,H$2,H$8:H$9)+5,H$1))</f>
        <v>0</v>
      </c>
      <c r="I304" cm="1">
        <f t="array" aca="1" ref="I304" ca="1">INDIRECT(ADDRESS(myRAND(1,I$2,I$8:I$9)+5,I$1))</f>
        <v>1</v>
      </c>
      <c r="J304">
        <f t="shared" ca="1" si="44"/>
        <v>18</v>
      </c>
      <c r="K304">
        <f t="shared" ca="1" si="44"/>
        <v>205</v>
      </c>
      <c r="L304" s="3">
        <f t="shared" ca="1" si="46"/>
        <v>3</v>
      </c>
      <c r="M304" s="13">
        <f t="shared" ca="1" si="47"/>
        <v>0.15842417884495577</v>
      </c>
      <c r="N304">
        <f t="shared" ca="1" si="48"/>
        <v>-1.6700000000000004</v>
      </c>
      <c r="O304">
        <f t="shared" ca="1" si="49"/>
        <v>0</v>
      </c>
      <c r="P304">
        <f t="shared" ca="1" si="50"/>
        <v>1</v>
      </c>
      <c r="Q304">
        <f t="shared" ca="1" si="51"/>
        <v>0</v>
      </c>
      <c r="R304">
        <f t="shared" ca="1" si="52"/>
        <v>0</v>
      </c>
      <c r="S304">
        <f t="shared" ca="1" si="53"/>
        <v>1</v>
      </c>
      <c r="T304" s="17">
        <f t="shared" ca="1" si="54"/>
        <v>4.7</v>
      </c>
    </row>
    <row r="305" spans="2:20" x14ac:dyDescent="0.3">
      <c r="B305">
        <f t="shared" ca="1" si="45"/>
        <v>44</v>
      </c>
      <c r="C305" cm="1">
        <f t="array" aca="1" ref="C305" ca="1">INDIRECT(ADDRESS(myRAND(1,C$2,C$8:C$9)+5,C$1))</f>
        <v>1</v>
      </c>
      <c r="D305" cm="1">
        <f t="array" aca="1" ref="D305" ca="1">INDIRECT(ADDRESS(myRAND(1,D$2,D$8:D$9)+5,D$1))</f>
        <v>1</v>
      </c>
      <c r="E305" cm="1">
        <f t="array" aca="1" ref="E305" ca="1">INDIRECT(ADDRESS(myRAND(1,E$2,E$8:E$9)+5,E$1))</f>
        <v>0</v>
      </c>
      <c r="F305" cm="1">
        <f t="array" aca="1" ref="F305" ca="1">INDIRECT(ADDRESS(myRAND(1,F$2,F$8:F$9)+5,F$1))</f>
        <v>1</v>
      </c>
      <c r="G305" cm="1">
        <f t="array" aca="1" ref="G305" ca="1">INDIRECT(ADDRESS(myRAND(1,G$2,G$8:G$9)+5,G$1))</f>
        <v>1</v>
      </c>
      <c r="H305" cm="1">
        <f t="array" aca="1" ref="H305" ca="1">INDIRECT(ADDRESS(myRAND(1,H$2,H$8:H$9)+5,H$1))</f>
        <v>1</v>
      </c>
      <c r="I305" cm="1">
        <f t="array" aca="1" ref="I305" ca="1">INDIRECT(ADDRESS(myRAND(1,I$2,I$8:I$9)+5,I$1))</f>
        <v>1</v>
      </c>
      <c r="J305">
        <f t="shared" ca="1" si="44"/>
        <v>17</v>
      </c>
      <c r="K305">
        <f t="shared" ca="1" si="44"/>
        <v>223</v>
      </c>
      <c r="L305" s="3">
        <f t="shared" ca="1" si="46"/>
        <v>3</v>
      </c>
      <c r="M305" s="13">
        <f t="shared" ca="1" si="47"/>
        <v>0.6524894621927444</v>
      </c>
      <c r="N305">
        <f t="shared" ca="1" si="48"/>
        <v>0.62999999999999967</v>
      </c>
      <c r="O305">
        <f t="shared" ca="1" si="49"/>
        <v>0</v>
      </c>
      <c r="P305">
        <f t="shared" ca="1" si="50"/>
        <v>1</v>
      </c>
      <c r="Q305">
        <f t="shared" ca="1" si="51"/>
        <v>0</v>
      </c>
      <c r="R305">
        <f t="shared" ca="1" si="52"/>
        <v>0</v>
      </c>
      <c r="S305">
        <f t="shared" ca="1" si="53"/>
        <v>3</v>
      </c>
      <c r="T305" s="17">
        <f t="shared" ca="1" si="54"/>
        <v>5.9590476190476185</v>
      </c>
    </row>
    <row r="306" spans="2:20" x14ac:dyDescent="0.3">
      <c r="B306">
        <f t="shared" ca="1" si="45"/>
        <v>49</v>
      </c>
      <c r="C306" cm="1">
        <f t="array" aca="1" ref="C306" ca="1">INDIRECT(ADDRESS(myRAND(1,C$2,C$8:C$9)+5,C$1))</f>
        <v>0</v>
      </c>
      <c r="D306" cm="1">
        <f t="array" aca="1" ref="D306" ca="1">INDIRECT(ADDRESS(myRAND(1,D$2,D$8:D$9)+5,D$1))</f>
        <v>0</v>
      </c>
      <c r="E306" cm="1">
        <f t="array" aca="1" ref="E306" ca="1">INDIRECT(ADDRESS(myRAND(1,E$2,E$8:E$9)+5,E$1))</f>
        <v>0</v>
      </c>
      <c r="F306" cm="1">
        <f t="array" aca="1" ref="F306" ca="1">INDIRECT(ADDRESS(myRAND(1,F$2,F$8:F$9)+5,F$1))</f>
        <v>0</v>
      </c>
      <c r="G306" cm="1">
        <f t="array" aca="1" ref="G306" ca="1">INDIRECT(ADDRESS(myRAND(1,G$2,G$8:G$9)+5,G$1))</f>
        <v>0</v>
      </c>
      <c r="H306" cm="1">
        <f t="array" aca="1" ref="H306" ca="1">INDIRECT(ADDRESS(myRAND(1,H$2,H$8:H$9)+5,H$1))</f>
        <v>1</v>
      </c>
      <c r="I306" cm="1">
        <f t="array" aca="1" ref="I306" ca="1">INDIRECT(ADDRESS(myRAND(1,I$2,I$8:I$9)+5,I$1))</f>
        <v>0</v>
      </c>
      <c r="J306">
        <f t="shared" ca="1" si="44"/>
        <v>17</v>
      </c>
      <c r="K306">
        <f t="shared" ca="1" si="44"/>
        <v>204</v>
      </c>
      <c r="L306" s="3">
        <f t="shared" ca="1" si="46"/>
        <v>3</v>
      </c>
      <c r="M306" s="13">
        <f t="shared" ca="1" si="47"/>
        <v>8.2413318127912791E-2</v>
      </c>
      <c r="N306">
        <f t="shared" ca="1" si="48"/>
        <v>-2.41</v>
      </c>
      <c r="O306">
        <f t="shared" ca="1" si="49"/>
        <v>0</v>
      </c>
      <c r="P306">
        <f t="shared" ca="1" si="50"/>
        <v>0</v>
      </c>
      <c r="Q306">
        <f t="shared" ca="1" si="51"/>
        <v>0</v>
      </c>
      <c r="R306">
        <f t="shared" ca="1" si="52"/>
        <v>1</v>
      </c>
      <c r="S306">
        <f t="shared" ca="1" si="53"/>
        <v>1</v>
      </c>
      <c r="T306" s="17">
        <f t="shared" ca="1" si="54"/>
        <v>1.9185714285714286</v>
      </c>
    </row>
    <row r="307" spans="2:20" x14ac:dyDescent="0.3">
      <c r="B307">
        <f t="shared" ca="1" si="45"/>
        <v>34</v>
      </c>
      <c r="C307" cm="1">
        <f t="array" aca="1" ref="C307" ca="1">INDIRECT(ADDRESS(myRAND(1,C$2,C$8:C$9)+5,C$1))</f>
        <v>1</v>
      </c>
      <c r="D307" cm="1">
        <f t="array" aca="1" ref="D307" ca="1">INDIRECT(ADDRESS(myRAND(1,D$2,D$8:D$9)+5,D$1))</f>
        <v>1</v>
      </c>
      <c r="E307" cm="1">
        <f t="array" aca="1" ref="E307" ca="1">INDIRECT(ADDRESS(myRAND(1,E$2,E$8:E$9)+5,E$1))</f>
        <v>0</v>
      </c>
      <c r="F307" cm="1">
        <f t="array" aca="1" ref="F307" ca="1">INDIRECT(ADDRESS(myRAND(1,F$2,F$8:F$9)+5,F$1))</f>
        <v>1</v>
      </c>
      <c r="G307" cm="1">
        <f t="array" aca="1" ref="G307" ca="1">INDIRECT(ADDRESS(myRAND(1,G$2,G$8:G$9)+5,G$1))</f>
        <v>0</v>
      </c>
      <c r="H307" cm="1">
        <f t="array" aca="1" ref="H307" ca="1">INDIRECT(ADDRESS(myRAND(1,H$2,H$8:H$9)+5,H$1))</f>
        <v>1</v>
      </c>
      <c r="I307" cm="1">
        <f t="array" aca="1" ref="I307" ca="1">INDIRECT(ADDRESS(myRAND(1,I$2,I$8:I$9)+5,I$1))</f>
        <v>0</v>
      </c>
      <c r="J307">
        <f t="shared" ca="1" si="44"/>
        <v>19</v>
      </c>
      <c r="K307">
        <f t="shared" ca="1" si="44"/>
        <v>186</v>
      </c>
      <c r="L307" s="3">
        <f t="shared" ca="1" si="46"/>
        <v>2</v>
      </c>
      <c r="M307" s="13">
        <f t="shared" ca="1" si="47"/>
        <v>0.55724785459855564</v>
      </c>
      <c r="N307">
        <f t="shared" ca="1" si="48"/>
        <v>0.2300000000000002</v>
      </c>
      <c r="O307">
        <f t="shared" ca="1" si="49"/>
        <v>0</v>
      </c>
      <c r="P307">
        <f t="shared" ca="1" si="50"/>
        <v>1</v>
      </c>
      <c r="Q307">
        <f t="shared" ca="1" si="51"/>
        <v>0</v>
      </c>
      <c r="R307">
        <f t="shared" ca="1" si="52"/>
        <v>0</v>
      </c>
      <c r="S307">
        <f t="shared" ca="1" si="53"/>
        <v>1</v>
      </c>
      <c r="T307" s="17">
        <f t="shared" ca="1" si="54"/>
        <v>2.8161904761904761</v>
      </c>
    </row>
    <row r="308" spans="2:20" x14ac:dyDescent="0.3">
      <c r="B308">
        <f t="shared" ca="1" si="45"/>
        <v>39</v>
      </c>
      <c r="C308" cm="1">
        <f t="array" aca="1" ref="C308" ca="1">INDIRECT(ADDRESS(myRAND(1,C$2,C$8:C$9)+5,C$1))</f>
        <v>0</v>
      </c>
      <c r="D308" cm="1">
        <f t="array" aca="1" ref="D308" ca="1">INDIRECT(ADDRESS(myRAND(1,D$2,D$8:D$9)+5,D$1))</f>
        <v>1</v>
      </c>
      <c r="E308" cm="1">
        <f t="array" aca="1" ref="E308" ca="1">INDIRECT(ADDRESS(myRAND(1,E$2,E$8:E$9)+5,E$1))</f>
        <v>0</v>
      </c>
      <c r="F308" cm="1">
        <f t="array" aca="1" ref="F308" ca="1">INDIRECT(ADDRESS(myRAND(1,F$2,F$8:F$9)+5,F$1))</f>
        <v>0</v>
      </c>
      <c r="G308" cm="1">
        <f t="array" aca="1" ref="G308" ca="1">INDIRECT(ADDRESS(myRAND(1,G$2,G$8:G$9)+5,G$1))</f>
        <v>0</v>
      </c>
      <c r="H308" cm="1">
        <f t="array" aca="1" ref="H308" ca="1">INDIRECT(ADDRESS(myRAND(1,H$2,H$8:H$9)+5,H$1))</f>
        <v>1</v>
      </c>
      <c r="I308" cm="1">
        <f t="array" aca="1" ref="I308" ca="1">INDIRECT(ADDRESS(myRAND(1,I$2,I$8:I$9)+5,I$1))</f>
        <v>1</v>
      </c>
      <c r="J308">
        <f t="shared" ca="1" si="44"/>
        <v>12</v>
      </c>
      <c r="K308">
        <f t="shared" ca="1" si="44"/>
        <v>208</v>
      </c>
      <c r="L308" s="3">
        <f t="shared" ca="1" si="46"/>
        <v>1</v>
      </c>
      <c r="M308" s="13">
        <f t="shared" ca="1" si="47"/>
        <v>5.6786180808788486E-2</v>
      </c>
      <c r="N308">
        <f t="shared" ca="1" si="48"/>
        <v>-2.81</v>
      </c>
      <c r="O308">
        <f t="shared" ca="1" si="49"/>
        <v>0</v>
      </c>
      <c r="P308">
        <f t="shared" ca="1" si="50"/>
        <v>0</v>
      </c>
      <c r="Q308">
        <f t="shared" ca="1" si="51"/>
        <v>1</v>
      </c>
      <c r="R308">
        <f t="shared" ca="1" si="52"/>
        <v>0</v>
      </c>
      <c r="S308">
        <f t="shared" ca="1" si="53"/>
        <v>2</v>
      </c>
      <c r="T308" s="17">
        <f t="shared" ca="1" si="54"/>
        <v>4.5042857142857144</v>
      </c>
    </row>
    <row r="309" spans="2:20" x14ac:dyDescent="0.3">
      <c r="B309">
        <f t="shared" ca="1" si="45"/>
        <v>24</v>
      </c>
      <c r="C309" cm="1">
        <f t="array" aca="1" ref="C309" ca="1">INDIRECT(ADDRESS(myRAND(1,C$2,C$8:C$9)+5,C$1))</f>
        <v>0</v>
      </c>
      <c r="D309" cm="1">
        <f t="array" aca="1" ref="D309" ca="1">INDIRECT(ADDRESS(myRAND(1,D$2,D$8:D$9)+5,D$1))</f>
        <v>1</v>
      </c>
      <c r="E309" cm="1">
        <f t="array" aca="1" ref="E309" ca="1">INDIRECT(ADDRESS(myRAND(1,E$2,E$8:E$9)+5,E$1))</f>
        <v>0</v>
      </c>
      <c r="F309" cm="1">
        <f t="array" aca="1" ref="F309" ca="1">INDIRECT(ADDRESS(myRAND(1,F$2,F$8:F$9)+5,F$1))</f>
        <v>1</v>
      </c>
      <c r="G309" cm="1">
        <f t="array" aca="1" ref="G309" ca="1">INDIRECT(ADDRESS(myRAND(1,G$2,G$8:G$9)+5,G$1))</f>
        <v>0</v>
      </c>
      <c r="H309" cm="1">
        <f t="array" aca="1" ref="H309" ca="1">INDIRECT(ADDRESS(myRAND(1,H$2,H$8:H$9)+5,H$1))</f>
        <v>1</v>
      </c>
      <c r="I309" cm="1">
        <f t="array" aca="1" ref="I309" ca="1">INDIRECT(ADDRESS(myRAND(1,I$2,I$8:I$9)+5,I$1))</f>
        <v>0</v>
      </c>
      <c r="J309">
        <f t="shared" ca="1" si="44"/>
        <v>15</v>
      </c>
      <c r="K309">
        <f t="shared" ca="1" si="44"/>
        <v>191</v>
      </c>
      <c r="L309" s="3">
        <f t="shared" ca="1" si="46"/>
        <v>2</v>
      </c>
      <c r="M309" s="13">
        <f t="shared" ca="1" si="47"/>
        <v>0.18093879315214198</v>
      </c>
      <c r="N309">
        <f t="shared" ca="1" si="48"/>
        <v>-1.5100000000000002</v>
      </c>
      <c r="O309">
        <f t="shared" ca="1" si="49"/>
        <v>0</v>
      </c>
      <c r="P309">
        <f t="shared" ca="1" si="50"/>
        <v>1</v>
      </c>
      <c r="Q309">
        <f t="shared" ca="1" si="51"/>
        <v>0</v>
      </c>
      <c r="R309">
        <f t="shared" ca="1" si="52"/>
        <v>0</v>
      </c>
      <c r="S309">
        <f t="shared" ca="1" si="53"/>
        <v>1</v>
      </c>
      <c r="T309" s="17">
        <f t="shared" ca="1" si="54"/>
        <v>1.4733333333333334</v>
      </c>
    </row>
    <row r="310" spans="2:20" x14ac:dyDescent="0.3">
      <c r="B310">
        <f t="shared" ca="1" si="45"/>
        <v>53</v>
      </c>
      <c r="C310" cm="1">
        <f t="array" aca="1" ref="C310" ca="1">INDIRECT(ADDRESS(myRAND(1,C$2,C$8:C$9)+5,C$1))</f>
        <v>0</v>
      </c>
      <c r="D310" cm="1">
        <f t="array" aca="1" ref="D310" ca="1">INDIRECT(ADDRESS(myRAND(1,D$2,D$8:D$9)+5,D$1))</f>
        <v>0</v>
      </c>
      <c r="E310" cm="1">
        <f t="array" aca="1" ref="E310" ca="1">INDIRECT(ADDRESS(myRAND(1,E$2,E$8:E$9)+5,E$1))</f>
        <v>0</v>
      </c>
      <c r="F310" cm="1">
        <f t="array" aca="1" ref="F310" ca="1">INDIRECT(ADDRESS(myRAND(1,F$2,F$8:F$9)+5,F$1))</f>
        <v>0</v>
      </c>
      <c r="G310" cm="1">
        <f t="array" aca="1" ref="G310" ca="1">INDIRECT(ADDRESS(myRAND(1,G$2,G$8:G$9)+5,G$1))</f>
        <v>1</v>
      </c>
      <c r="H310" cm="1">
        <f t="array" aca="1" ref="H310" ca="1">INDIRECT(ADDRESS(myRAND(1,H$2,H$8:H$9)+5,H$1))</f>
        <v>1</v>
      </c>
      <c r="I310" cm="1">
        <f t="array" aca="1" ref="I310" ca="1">INDIRECT(ADDRESS(myRAND(1,I$2,I$8:I$9)+5,I$1))</f>
        <v>0</v>
      </c>
      <c r="J310">
        <f t="shared" ca="1" si="44"/>
        <v>18</v>
      </c>
      <c r="K310">
        <f t="shared" ca="1" si="44"/>
        <v>253</v>
      </c>
      <c r="L310" s="3">
        <f t="shared" ca="1" si="46"/>
        <v>1</v>
      </c>
      <c r="M310" s="13">
        <f t="shared" ca="1" si="47"/>
        <v>9.534946489910949E-2</v>
      </c>
      <c r="N310">
        <f t="shared" ca="1" si="48"/>
        <v>-2.25</v>
      </c>
      <c r="O310">
        <f t="shared" ca="1" si="49"/>
        <v>0</v>
      </c>
      <c r="P310">
        <f t="shared" ca="1" si="50"/>
        <v>0</v>
      </c>
      <c r="Q310">
        <f t="shared" ca="1" si="51"/>
        <v>0</v>
      </c>
      <c r="R310">
        <f t="shared" ca="1" si="52"/>
        <v>0</v>
      </c>
      <c r="S310">
        <f t="shared" ca="1" si="53"/>
        <v>2</v>
      </c>
      <c r="T310" s="17">
        <f t="shared" ca="1" si="54"/>
        <v>2.2585714285714285</v>
      </c>
    </row>
    <row r="311" spans="2:20" x14ac:dyDescent="0.3">
      <c r="B311">
        <f t="shared" ca="1" si="45"/>
        <v>47</v>
      </c>
      <c r="C311" cm="1">
        <f t="array" aca="1" ref="C311" ca="1">INDIRECT(ADDRESS(myRAND(1,C$2,C$8:C$9)+5,C$1))</f>
        <v>0</v>
      </c>
      <c r="D311" cm="1">
        <f t="array" aca="1" ref="D311" ca="1">INDIRECT(ADDRESS(myRAND(1,D$2,D$8:D$9)+5,D$1))</f>
        <v>0</v>
      </c>
      <c r="E311" cm="1">
        <f t="array" aca="1" ref="E311" ca="1">INDIRECT(ADDRESS(myRAND(1,E$2,E$8:E$9)+5,E$1))</f>
        <v>1</v>
      </c>
      <c r="F311" cm="1">
        <f t="array" aca="1" ref="F311" ca="1">INDIRECT(ADDRESS(myRAND(1,F$2,F$8:F$9)+5,F$1))</f>
        <v>1</v>
      </c>
      <c r="G311" cm="1">
        <f t="array" aca="1" ref="G311" ca="1">INDIRECT(ADDRESS(myRAND(1,G$2,G$8:G$9)+5,G$1))</f>
        <v>0</v>
      </c>
      <c r="H311" cm="1">
        <f t="array" aca="1" ref="H311" ca="1">INDIRECT(ADDRESS(myRAND(1,H$2,H$8:H$9)+5,H$1))</f>
        <v>0</v>
      </c>
      <c r="I311" cm="1">
        <f t="array" aca="1" ref="I311" ca="1">INDIRECT(ADDRESS(myRAND(1,I$2,I$8:I$9)+5,I$1))</f>
        <v>1</v>
      </c>
      <c r="J311">
        <f t="shared" ca="1" si="44"/>
        <v>17</v>
      </c>
      <c r="K311">
        <f t="shared" ca="1" si="44"/>
        <v>139</v>
      </c>
      <c r="L311" s="3">
        <f t="shared" ca="1" si="46"/>
        <v>2</v>
      </c>
      <c r="M311" s="13">
        <f t="shared" ca="1" si="47"/>
        <v>0.35663485430559816</v>
      </c>
      <c r="N311">
        <f t="shared" ca="1" si="48"/>
        <v>-0.5900000000000003</v>
      </c>
      <c r="O311">
        <f t="shared" ca="1" si="49"/>
        <v>0</v>
      </c>
      <c r="P311">
        <f t="shared" ca="1" si="50"/>
        <v>1</v>
      </c>
      <c r="Q311">
        <f t="shared" ca="1" si="51"/>
        <v>0</v>
      </c>
      <c r="R311">
        <f t="shared" ca="1" si="52"/>
        <v>0</v>
      </c>
      <c r="S311">
        <f t="shared" ca="1" si="53"/>
        <v>1</v>
      </c>
      <c r="T311" s="17">
        <f t="shared" ca="1" si="54"/>
        <v>4.5890476190476193</v>
      </c>
    </row>
    <row r="312" spans="2:20" x14ac:dyDescent="0.3">
      <c r="B312">
        <f t="shared" ca="1" si="45"/>
        <v>37</v>
      </c>
      <c r="C312" cm="1">
        <f t="array" aca="1" ref="C312" ca="1">INDIRECT(ADDRESS(myRAND(1,C$2,C$8:C$9)+5,C$1))</f>
        <v>1</v>
      </c>
      <c r="D312" cm="1">
        <f t="array" aca="1" ref="D312" ca="1">INDIRECT(ADDRESS(myRAND(1,D$2,D$8:D$9)+5,D$1))</f>
        <v>0</v>
      </c>
      <c r="E312" cm="1">
        <f t="array" aca="1" ref="E312" ca="1">INDIRECT(ADDRESS(myRAND(1,E$2,E$8:E$9)+5,E$1))</f>
        <v>0</v>
      </c>
      <c r="F312" cm="1">
        <f t="array" aca="1" ref="F312" ca="1">INDIRECT(ADDRESS(myRAND(1,F$2,F$8:F$9)+5,F$1))</f>
        <v>1</v>
      </c>
      <c r="G312" cm="1">
        <f t="array" aca="1" ref="G312" ca="1">INDIRECT(ADDRESS(myRAND(1,G$2,G$8:G$9)+5,G$1))</f>
        <v>0</v>
      </c>
      <c r="H312" cm="1">
        <f t="array" aca="1" ref="H312" ca="1">INDIRECT(ADDRESS(myRAND(1,H$2,H$8:H$9)+5,H$1))</f>
        <v>0</v>
      </c>
      <c r="I312" cm="1">
        <f t="array" aca="1" ref="I312" ca="1">INDIRECT(ADDRESS(myRAND(1,I$2,I$8:I$9)+5,I$1))</f>
        <v>0</v>
      </c>
      <c r="J312">
        <f t="shared" ca="1" si="44"/>
        <v>16</v>
      </c>
      <c r="K312">
        <f t="shared" ca="1" si="44"/>
        <v>173</v>
      </c>
      <c r="L312" s="3">
        <f t="shared" ca="1" si="46"/>
        <v>3</v>
      </c>
      <c r="M312" s="13">
        <f t="shared" ca="1" si="47"/>
        <v>0.1750862681640398</v>
      </c>
      <c r="N312">
        <f t="shared" ca="1" si="48"/>
        <v>-1.55</v>
      </c>
      <c r="O312">
        <f t="shared" ca="1" si="49"/>
        <v>0</v>
      </c>
      <c r="P312">
        <f t="shared" ca="1" si="50"/>
        <v>0</v>
      </c>
      <c r="Q312">
        <f t="shared" ca="1" si="51"/>
        <v>1</v>
      </c>
      <c r="R312">
        <f t="shared" ca="1" si="52"/>
        <v>0</v>
      </c>
      <c r="S312">
        <f t="shared" ca="1" si="53"/>
        <v>0</v>
      </c>
      <c r="T312" s="17">
        <f t="shared" ca="1" si="54"/>
        <v>2.5842857142857145</v>
      </c>
    </row>
    <row r="313" spans="2:20" x14ac:dyDescent="0.3">
      <c r="B313">
        <f t="shared" ca="1" si="45"/>
        <v>76</v>
      </c>
      <c r="C313" cm="1">
        <f t="array" aca="1" ref="C313" ca="1">INDIRECT(ADDRESS(myRAND(1,C$2,C$8:C$9)+5,C$1))</f>
        <v>0</v>
      </c>
      <c r="D313" cm="1">
        <f t="array" aca="1" ref="D313" ca="1">INDIRECT(ADDRESS(myRAND(1,D$2,D$8:D$9)+5,D$1))</f>
        <v>0</v>
      </c>
      <c r="E313" cm="1">
        <f t="array" aca="1" ref="E313" ca="1">INDIRECT(ADDRESS(myRAND(1,E$2,E$8:E$9)+5,E$1))</f>
        <v>1</v>
      </c>
      <c r="F313" cm="1">
        <f t="array" aca="1" ref="F313" ca="1">INDIRECT(ADDRESS(myRAND(1,F$2,F$8:F$9)+5,F$1))</f>
        <v>0</v>
      </c>
      <c r="G313" cm="1">
        <f t="array" aca="1" ref="G313" ca="1">INDIRECT(ADDRESS(myRAND(1,G$2,G$8:G$9)+5,G$1))</f>
        <v>1</v>
      </c>
      <c r="H313" cm="1">
        <f t="array" aca="1" ref="H313" ca="1">INDIRECT(ADDRESS(myRAND(1,H$2,H$8:H$9)+5,H$1))</f>
        <v>0</v>
      </c>
      <c r="I313" cm="1">
        <f t="array" aca="1" ref="I313" ca="1">INDIRECT(ADDRESS(myRAND(1,I$2,I$8:I$9)+5,I$1))</f>
        <v>0</v>
      </c>
      <c r="J313">
        <f t="shared" ca="1" si="44"/>
        <v>14</v>
      </c>
      <c r="K313">
        <f t="shared" ca="1" si="44"/>
        <v>223</v>
      </c>
      <c r="L313" s="3">
        <f t="shared" ca="1" si="46"/>
        <v>3</v>
      </c>
      <c r="M313" s="13">
        <f t="shared" ca="1" si="47"/>
        <v>0.2091593652130633</v>
      </c>
      <c r="N313">
        <f t="shared" ca="1" si="48"/>
        <v>-1.33</v>
      </c>
      <c r="O313">
        <f t="shared" ca="1" si="49"/>
        <v>0</v>
      </c>
      <c r="P313">
        <f t="shared" ca="1" si="50"/>
        <v>0</v>
      </c>
      <c r="Q313">
        <f t="shared" ca="1" si="51"/>
        <v>1</v>
      </c>
      <c r="R313">
        <f t="shared" ca="1" si="52"/>
        <v>0</v>
      </c>
      <c r="S313">
        <f t="shared" ca="1" si="53"/>
        <v>1</v>
      </c>
      <c r="T313" s="17">
        <f t="shared" ca="1" si="54"/>
        <v>2.0790476190476195</v>
      </c>
    </row>
    <row r="314" spans="2:20" x14ac:dyDescent="0.3">
      <c r="B314">
        <f t="shared" ca="1" si="45"/>
        <v>61</v>
      </c>
      <c r="C314" cm="1">
        <f t="array" aca="1" ref="C314" ca="1">INDIRECT(ADDRESS(myRAND(1,C$2,C$8:C$9)+5,C$1))</f>
        <v>0</v>
      </c>
      <c r="D314" cm="1">
        <f t="array" aca="1" ref="D314" ca="1">INDIRECT(ADDRESS(myRAND(1,D$2,D$8:D$9)+5,D$1))</f>
        <v>0</v>
      </c>
      <c r="E314" cm="1">
        <f t="array" aca="1" ref="E314" ca="1">INDIRECT(ADDRESS(myRAND(1,E$2,E$8:E$9)+5,E$1))</f>
        <v>0</v>
      </c>
      <c r="F314" cm="1">
        <f t="array" aca="1" ref="F314" ca="1">INDIRECT(ADDRESS(myRAND(1,F$2,F$8:F$9)+5,F$1))</f>
        <v>1</v>
      </c>
      <c r="G314" cm="1">
        <f t="array" aca="1" ref="G314" ca="1">INDIRECT(ADDRESS(myRAND(1,G$2,G$8:G$9)+5,G$1))</f>
        <v>1</v>
      </c>
      <c r="H314" cm="1">
        <f t="array" aca="1" ref="H314" ca="1">INDIRECT(ADDRESS(myRAND(1,H$2,H$8:H$9)+5,H$1))</f>
        <v>1</v>
      </c>
      <c r="I314" cm="1">
        <f t="array" aca="1" ref="I314" ca="1">INDIRECT(ADDRESS(myRAND(1,I$2,I$8:I$9)+5,I$1))</f>
        <v>0</v>
      </c>
      <c r="J314">
        <f t="shared" ca="1" si="44"/>
        <v>17</v>
      </c>
      <c r="K314">
        <f t="shared" ca="1" si="44"/>
        <v>221</v>
      </c>
      <c r="L314" s="3">
        <f t="shared" ca="1" si="46"/>
        <v>1</v>
      </c>
      <c r="M314" s="13">
        <f t="shared" ca="1" si="47"/>
        <v>0.12675058012214077</v>
      </c>
      <c r="N314">
        <f t="shared" ca="1" si="48"/>
        <v>-1.9300000000000002</v>
      </c>
      <c r="O314">
        <f t="shared" ca="1" si="49"/>
        <v>0</v>
      </c>
      <c r="P314">
        <f t="shared" ca="1" si="50"/>
        <v>0</v>
      </c>
      <c r="Q314">
        <f t="shared" ca="1" si="51"/>
        <v>1</v>
      </c>
      <c r="R314">
        <f t="shared" ca="1" si="52"/>
        <v>0</v>
      </c>
      <c r="S314">
        <f t="shared" ca="1" si="53"/>
        <v>2</v>
      </c>
      <c r="T314" s="17">
        <f t="shared" ca="1" si="54"/>
        <v>2.1195238095238094</v>
      </c>
    </row>
    <row r="315" spans="2:20" x14ac:dyDescent="0.3">
      <c r="B315">
        <f t="shared" ca="1" si="45"/>
        <v>40</v>
      </c>
      <c r="C315" cm="1">
        <f t="array" aca="1" ref="C315" ca="1">INDIRECT(ADDRESS(myRAND(1,C$2,C$8:C$9)+5,C$1))</f>
        <v>0</v>
      </c>
      <c r="D315" cm="1">
        <f t="array" aca="1" ref="D315" ca="1">INDIRECT(ADDRESS(myRAND(1,D$2,D$8:D$9)+5,D$1))</f>
        <v>1</v>
      </c>
      <c r="E315" cm="1">
        <f t="array" aca="1" ref="E315" ca="1">INDIRECT(ADDRESS(myRAND(1,E$2,E$8:E$9)+5,E$1))</f>
        <v>0</v>
      </c>
      <c r="F315" cm="1">
        <f t="array" aca="1" ref="F315" ca="1">INDIRECT(ADDRESS(myRAND(1,F$2,F$8:F$9)+5,F$1))</f>
        <v>0</v>
      </c>
      <c r="G315" cm="1">
        <f t="array" aca="1" ref="G315" ca="1">INDIRECT(ADDRESS(myRAND(1,G$2,G$8:G$9)+5,G$1))</f>
        <v>0</v>
      </c>
      <c r="H315" cm="1">
        <f t="array" aca="1" ref="H315" ca="1">INDIRECT(ADDRESS(myRAND(1,H$2,H$8:H$9)+5,H$1))</f>
        <v>1</v>
      </c>
      <c r="I315" cm="1">
        <f t="array" aca="1" ref="I315" ca="1">INDIRECT(ADDRESS(myRAND(1,I$2,I$8:I$9)+5,I$1))</f>
        <v>0</v>
      </c>
      <c r="J315">
        <f t="shared" ca="1" si="44"/>
        <v>16</v>
      </c>
      <c r="K315">
        <f t="shared" ca="1" si="44"/>
        <v>225</v>
      </c>
      <c r="L315" s="3">
        <f t="shared" ca="1" si="46"/>
        <v>1</v>
      </c>
      <c r="M315" s="13">
        <f t="shared" ca="1" si="47"/>
        <v>5.8967013464791759E-2</v>
      </c>
      <c r="N315">
        <f t="shared" ca="1" si="48"/>
        <v>-2.77</v>
      </c>
      <c r="O315">
        <f t="shared" ca="1" si="49"/>
        <v>0</v>
      </c>
      <c r="P315">
        <f t="shared" ca="1" si="50"/>
        <v>0</v>
      </c>
      <c r="Q315">
        <f t="shared" ca="1" si="51"/>
        <v>1</v>
      </c>
      <c r="R315">
        <f t="shared" ca="1" si="52"/>
        <v>0</v>
      </c>
      <c r="S315">
        <f t="shared" ca="1" si="53"/>
        <v>1</v>
      </c>
      <c r="T315" s="17">
        <f t="shared" ca="1" si="54"/>
        <v>1.861904761904762</v>
      </c>
    </row>
    <row r="316" spans="2:20" x14ac:dyDescent="0.3">
      <c r="B316">
        <f t="shared" ca="1" si="45"/>
        <v>39</v>
      </c>
      <c r="C316" cm="1">
        <f t="array" aca="1" ref="C316" ca="1">INDIRECT(ADDRESS(myRAND(1,C$2,C$8:C$9)+5,C$1))</f>
        <v>1</v>
      </c>
      <c r="D316" cm="1">
        <f t="array" aca="1" ref="D316" ca="1">INDIRECT(ADDRESS(myRAND(1,D$2,D$8:D$9)+5,D$1))</f>
        <v>0</v>
      </c>
      <c r="E316" cm="1">
        <f t="array" aca="1" ref="E316" ca="1">INDIRECT(ADDRESS(myRAND(1,E$2,E$8:E$9)+5,E$1))</f>
        <v>0</v>
      </c>
      <c r="F316" cm="1">
        <f t="array" aca="1" ref="F316" ca="1">INDIRECT(ADDRESS(myRAND(1,F$2,F$8:F$9)+5,F$1))</f>
        <v>0</v>
      </c>
      <c r="G316" cm="1">
        <f t="array" aca="1" ref="G316" ca="1">INDIRECT(ADDRESS(myRAND(1,G$2,G$8:G$9)+5,G$1))</f>
        <v>1</v>
      </c>
      <c r="H316" cm="1">
        <f t="array" aca="1" ref="H316" ca="1">INDIRECT(ADDRESS(myRAND(1,H$2,H$8:H$9)+5,H$1))</f>
        <v>0</v>
      </c>
      <c r="I316" cm="1">
        <f t="array" aca="1" ref="I316" ca="1">INDIRECT(ADDRESS(myRAND(1,I$2,I$8:I$9)+5,I$1))</f>
        <v>0</v>
      </c>
      <c r="J316">
        <f t="shared" ca="1" si="44"/>
        <v>17</v>
      </c>
      <c r="K316">
        <f t="shared" ca="1" si="44"/>
        <v>232</v>
      </c>
      <c r="L316" s="3">
        <f t="shared" ca="1" si="46"/>
        <v>3</v>
      </c>
      <c r="M316" s="13">
        <f t="shared" ca="1" si="47"/>
        <v>0.18694261396804635</v>
      </c>
      <c r="N316">
        <f t="shared" ca="1" si="48"/>
        <v>-1.47</v>
      </c>
      <c r="O316">
        <f t="shared" ca="1" si="49"/>
        <v>0</v>
      </c>
      <c r="P316">
        <f t="shared" ca="1" si="50"/>
        <v>0</v>
      </c>
      <c r="Q316">
        <f t="shared" ca="1" si="51"/>
        <v>0</v>
      </c>
      <c r="R316">
        <f t="shared" ca="1" si="52"/>
        <v>0</v>
      </c>
      <c r="S316">
        <f t="shared" ca="1" si="53"/>
        <v>1</v>
      </c>
      <c r="T316" s="17">
        <f t="shared" ca="1" si="54"/>
        <v>2.9519047619047618</v>
      </c>
    </row>
    <row r="317" spans="2:20" x14ac:dyDescent="0.3">
      <c r="B317">
        <f t="shared" ca="1" si="45"/>
        <v>62</v>
      </c>
      <c r="C317" cm="1">
        <f t="array" aca="1" ref="C317" ca="1">INDIRECT(ADDRESS(myRAND(1,C$2,C$8:C$9)+5,C$1))</f>
        <v>0</v>
      </c>
      <c r="D317" cm="1">
        <f t="array" aca="1" ref="D317" ca="1">INDIRECT(ADDRESS(myRAND(1,D$2,D$8:D$9)+5,D$1))</f>
        <v>1</v>
      </c>
      <c r="E317" cm="1">
        <f t="array" aca="1" ref="E317" ca="1">INDIRECT(ADDRESS(myRAND(1,E$2,E$8:E$9)+5,E$1))</f>
        <v>0</v>
      </c>
      <c r="F317" cm="1">
        <f t="array" aca="1" ref="F317" ca="1">INDIRECT(ADDRESS(myRAND(1,F$2,F$8:F$9)+5,F$1))</f>
        <v>0</v>
      </c>
      <c r="G317" cm="1">
        <f t="array" aca="1" ref="G317" ca="1">INDIRECT(ADDRESS(myRAND(1,G$2,G$8:G$9)+5,G$1))</f>
        <v>1</v>
      </c>
      <c r="H317" cm="1">
        <f t="array" aca="1" ref="H317" ca="1">INDIRECT(ADDRESS(myRAND(1,H$2,H$8:H$9)+5,H$1))</f>
        <v>1</v>
      </c>
      <c r="I317" cm="1">
        <f t="array" aca="1" ref="I317" ca="1">INDIRECT(ADDRESS(myRAND(1,I$2,I$8:I$9)+5,I$1))</f>
        <v>0</v>
      </c>
      <c r="J317">
        <f t="shared" ca="1" si="44"/>
        <v>10</v>
      </c>
      <c r="K317">
        <f t="shared" ca="1" si="44"/>
        <v>227</v>
      </c>
      <c r="L317" s="3">
        <f t="shared" ca="1" si="46"/>
        <v>1</v>
      </c>
      <c r="M317" s="13">
        <f t="shared" ca="1" si="47"/>
        <v>0.1312444694385233</v>
      </c>
      <c r="N317">
        <f t="shared" ca="1" si="48"/>
        <v>-1.8900000000000001</v>
      </c>
      <c r="O317">
        <f t="shared" ca="1" si="49"/>
        <v>0</v>
      </c>
      <c r="P317">
        <f t="shared" ca="1" si="50"/>
        <v>0</v>
      </c>
      <c r="Q317">
        <f t="shared" ca="1" si="51"/>
        <v>1</v>
      </c>
      <c r="R317">
        <f t="shared" ca="1" si="52"/>
        <v>0</v>
      </c>
      <c r="S317">
        <f t="shared" ca="1" si="53"/>
        <v>2</v>
      </c>
      <c r="T317" s="17">
        <f t="shared" ca="1" si="54"/>
        <v>1.6914285714285713</v>
      </c>
    </row>
    <row r="318" spans="2:20" x14ac:dyDescent="0.3">
      <c r="B318">
        <f t="shared" ca="1" si="45"/>
        <v>50</v>
      </c>
      <c r="C318" cm="1">
        <f t="array" aca="1" ref="C318" ca="1">INDIRECT(ADDRESS(myRAND(1,C$2,C$8:C$9)+5,C$1))</f>
        <v>1</v>
      </c>
      <c r="D318" cm="1">
        <f t="array" aca="1" ref="D318" ca="1">INDIRECT(ADDRESS(myRAND(1,D$2,D$8:D$9)+5,D$1))</f>
        <v>0</v>
      </c>
      <c r="E318" cm="1">
        <f t="array" aca="1" ref="E318" ca="1">INDIRECT(ADDRESS(myRAND(1,E$2,E$8:E$9)+5,E$1))</f>
        <v>1</v>
      </c>
      <c r="F318" cm="1">
        <f t="array" aca="1" ref="F318" ca="1">INDIRECT(ADDRESS(myRAND(1,F$2,F$8:F$9)+5,F$1))</f>
        <v>0</v>
      </c>
      <c r="G318" cm="1">
        <f t="array" aca="1" ref="G318" ca="1">INDIRECT(ADDRESS(myRAND(1,G$2,G$8:G$9)+5,G$1))</f>
        <v>0</v>
      </c>
      <c r="H318" cm="1">
        <f t="array" aca="1" ref="H318" ca="1">INDIRECT(ADDRESS(myRAND(1,H$2,H$8:H$9)+5,H$1))</f>
        <v>0</v>
      </c>
      <c r="I318" cm="1">
        <f t="array" aca="1" ref="I318" ca="1">INDIRECT(ADDRESS(myRAND(1,I$2,I$8:I$9)+5,I$1))</f>
        <v>0</v>
      </c>
      <c r="J318">
        <f t="shared" ca="1" si="44"/>
        <v>16</v>
      </c>
      <c r="K318">
        <f t="shared" ca="1" si="44"/>
        <v>226</v>
      </c>
      <c r="L318" s="3">
        <f t="shared" ca="1" si="46"/>
        <v>3</v>
      </c>
      <c r="M318" s="13">
        <f t="shared" ca="1" si="47"/>
        <v>0.26308410416657979</v>
      </c>
      <c r="N318">
        <f t="shared" ca="1" si="48"/>
        <v>-1.03</v>
      </c>
      <c r="O318">
        <f t="shared" ca="1" si="49"/>
        <v>0</v>
      </c>
      <c r="P318">
        <f t="shared" ca="1" si="50"/>
        <v>0</v>
      </c>
      <c r="Q318">
        <f t="shared" ca="1" si="51"/>
        <v>1</v>
      </c>
      <c r="R318">
        <f t="shared" ca="1" si="52"/>
        <v>0</v>
      </c>
      <c r="S318">
        <f t="shared" ca="1" si="53"/>
        <v>0</v>
      </c>
      <c r="T318" s="17">
        <f t="shared" ca="1" si="54"/>
        <v>2.9666666666666668</v>
      </c>
    </row>
    <row r="319" spans="2:20" x14ac:dyDescent="0.3">
      <c r="B319">
        <f t="shared" ca="1" si="45"/>
        <v>49</v>
      </c>
      <c r="C319" cm="1">
        <f t="array" aca="1" ref="C319" ca="1">INDIRECT(ADDRESS(myRAND(1,C$2,C$8:C$9)+5,C$1))</f>
        <v>0</v>
      </c>
      <c r="D319" cm="1">
        <f t="array" aca="1" ref="D319" ca="1">INDIRECT(ADDRESS(myRAND(1,D$2,D$8:D$9)+5,D$1))</f>
        <v>0</v>
      </c>
      <c r="E319" cm="1">
        <f t="array" aca="1" ref="E319" ca="1">INDIRECT(ADDRESS(myRAND(1,E$2,E$8:E$9)+5,E$1))</f>
        <v>1</v>
      </c>
      <c r="F319" cm="1">
        <f t="array" aca="1" ref="F319" ca="1">INDIRECT(ADDRESS(myRAND(1,F$2,F$8:F$9)+5,F$1))</f>
        <v>0</v>
      </c>
      <c r="G319" cm="1">
        <f t="array" aca="1" ref="G319" ca="1">INDIRECT(ADDRESS(myRAND(1,G$2,G$8:G$9)+5,G$1))</f>
        <v>0</v>
      </c>
      <c r="H319" cm="1">
        <f t="array" aca="1" ref="H319" ca="1">INDIRECT(ADDRESS(myRAND(1,H$2,H$8:H$9)+5,H$1))</f>
        <v>0</v>
      </c>
      <c r="I319" cm="1">
        <f t="array" aca="1" ref="I319" ca="1">INDIRECT(ADDRESS(myRAND(1,I$2,I$8:I$9)+5,I$1))</f>
        <v>0</v>
      </c>
      <c r="J319">
        <f t="shared" ca="1" si="44"/>
        <v>15</v>
      </c>
      <c r="K319">
        <f t="shared" ca="1" si="44"/>
        <v>213</v>
      </c>
      <c r="L319" s="3">
        <f t="shared" ca="1" si="46"/>
        <v>1</v>
      </c>
      <c r="M319" s="13">
        <f t="shared" ca="1" si="47"/>
        <v>8.2413318127912791E-2</v>
      </c>
      <c r="N319">
        <f t="shared" ca="1" si="48"/>
        <v>-2.41</v>
      </c>
      <c r="O319">
        <f t="shared" ca="1" si="49"/>
        <v>0</v>
      </c>
      <c r="P319">
        <f t="shared" ca="1" si="50"/>
        <v>0</v>
      </c>
      <c r="Q319">
        <f t="shared" ca="1" si="51"/>
        <v>1</v>
      </c>
      <c r="R319">
        <f t="shared" ca="1" si="52"/>
        <v>0</v>
      </c>
      <c r="S319">
        <f t="shared" ca="1" si="53"/>
        <v>0</v>
      </c>
      <c r="T319" s="17">
        <f t="shared" ca="1" si="54"/>
        <v>1.828095238095238</v>
      </c>
    </row>
    <row r="320" spans="2:20" x14ac:dyDescent="0.3">
      <c r="B320">
        <f t="shared" ca="1" si="45"/>
        <v>45</v>
      </c>
      <c r="C320" cm="1">
        <f t="array" aca="1" ref="C320" ca="1">INDIRECT(ADDRESS(myRAND(1,C$2,C$8:C$9)+5,C$1))</f>
        <v>0</v>
      </c>
      <c r="D320" cm="1">
        <f t="array" aca="1" ref="D320" ca="1">INDIRECT(ADDRESS(myRAND(1,D$2,D$8:D$9)+5,D$1))</f>
        <v>0</v>
      </c>
      <c r="E320" cm="1">
        <f t="array" aca="1" ref="E320" ca="1">INDIRECT(ADDRESS(myRAND(1,E$2,E$8:E$9)+5,E$1))</f>
        <v>0</v>
      </c>
      <c r="F320" cm="1">
        <f t="array" aca="1" ref="F320" ca="1">INDIRECT(ADDRESS(myRAND(1,F$2,F$8:F$9)+5,F$1))</f>
        <v>0</v>
      </c>
      <c r="G320" cm="1">
        <f t="array" aca="1" ref="G320" ca="1">INDIRECT(ADDRESS(myRAND(1,G$2,G$8:G$9)+5,G$1))</f>
        <v>0</v>
      </c>
      <c r="H320" cm="1">
        <f t="array" aca="1" ref="H320" ca="1">INDIRECT(ADDRESS(myRAND(1,H$2,H$8:H$9)+5,H$1))</f>
        <v>0</v>
      </c>
      <c r="I320" cm="1">
        <f t="array" aca="1" ref="I320" ca="1">INDIRECT(ADDRESS(myRAND(1,I$2,I$8:I$9)+5,I$1))</f>
        <v>1</v>
      </c>
      <c r="J320">
        <f t="shared" ca="1" si="44"/>
        <v>12</v>
      </c>
      <c r="K320">
        <f t="shared" ca="1" si="44"/>
        <v>266</v>
      </c>
      <c r="L320" s="3">
        <f t="shared" ca="1" si="46"/>
        <v>3</v>
      </c>
      <c r="M320" s="13">
        <f t="shared" ca="1" si="47"/>
        <v>7.1094304084287144E-2</v>
      </c>
      <c r="N320">
        <f t="shared" ca="1" si="48"/>
        <v>-2.5700000000000003</v>
      </c>
      <c r="O320">
        <f t="shared" ca="1" si="49"/>
        <v>0</v>
      </c>
      <c r="P320">
        <f t="shared" ca="1" si="50"/>
        <v>0</v>
      </c>
      <c r="Q320">
        <f t="shared" ca="1" si="51"/>
        <v>0</v>
      </c>
      <c r="R320">
        <f t="shared" ca="1" si="52"/>
        <v>1</v>
      </c>
      <c r="S320">
        <f t="shared" ca="1" si="53"/>
        <v>1</v>
      </c>
      <c r="T320" s="17">
        <f t="shared" ca="1" si="54"/>
        <v>4.8404761904761902</v>
      </c>
    </row>
    <row r="321" spans="2:20" x14ac:dyDescent="0.3">
      <c r="B321">
        <f t="shared" ca="1" si="45"/>
        <v>62</v>
      </c>
      <c r="C321" cm="1">
        <f t="array" aca="1" ref="C321" ca="1">INDIRECT(ADDRESS(myRAND(1,C$2,C$8:C$9)+5,C$1))</f>
        <v>1</v>
      </c>
      <c r="D321" cm="1">
        <f t="array" aca="1" ref="D321" ca="1">INDIRECT(ADDRESS(myRAND(1,D$2,D$8:D$9)+5,D$1))</f>
        <v>1</v>
      </c>
      <c r="E321" cm="1">
        <f t="array" aca="1" ref="E321" ca="1">INDIRECT(ADDRESS(myRAND(1,E$2,E$8:E$9)+5,E$1))</f>
        <v>1</v>
      </c>
      <c r="F321" cm="1">
        <f t="array" aca="1" ref="F321" ca="1">INDIRECT(ADDRESS(myRAND(1,F$2,F$8:F$9)+5,F$1))</f>
        <v>1</v>
      </c>
      <c r="G321" cm="1">
        <f t="array" aca="1" ref="G321" ca="1">INDIRECT(ADDRESS(myRAND(1,G$2,G$8:G$9)+5,G$1))</f>
        <v>1</v>
      </c>
      <c r="H321" cm="1">
        <f t="array" aca="1" ref="H321" ca="1">INDIRECT(ADDRESS(myRAND(1,H$2,H$8:H$9)+5,H$1))</f>
        <v>0</v>
      </c>
      <c r="I321" cm="1">
        <f t="array" aca="1" ref="I321" ca="1">INDIRECT(ADDRESS(myRAND(1,I$2,I$8:I$9)+5,I$1))</f>
        <v>1</v>
      </c>
      <c r="J321">
        <f t="shared" ca="1" si="44"/>
        <v>16</v>
      </c>
      <c r="K321">
        <f t="shared" ca="1" si="44"/>
        <v>240</v>
      </c>
      <c r="L321" s="3">
        <f t="shared" ca="1" si="46"/>
        <v>3</v>
      </c>
      <c r="M321" s="13">
        <f t="shared" ca="1" si="47"/>
        <v>0.52248482479180014</v>
      </c>
      <c r="N321">
        <f t="shared" ca="1" si="48"/>
        <v>8.9999999999999969E-2</v>
      </c>
      <c r="O321">
        <f t="shared" ca="1" si="49"/>
        <v>1</v>
      </c>
      <c r="P321">
        <f t="shared" ca="1" si="50"/>
        <v>0</v>
      </c>
      <c r="Q321">
        <f t="shared" ca="1" si="51"/>
        <v>0</v>
      </c>
      <c r="R321">
        <f t="shared" ca="1" si="52"/>
        <v>0</v>
      </c>
      <c r="S321">
        <f t="shared" ca="1" si="53"/>
        <v>2</v>
      </c>
      <c r="T321" s="17">
        <f t="shared" ca="1" si="54"/>
        <v>6.1533333333333333</v>
      </c>
    </row>
    <row r="322" spans="2:20" x14ac:dyDescent="0.3">
      <c r="B322">
        <f t="shared" ca="1" si="45"/>
        <v>61</v>
      </c>
      <c r="C322" cm="1">
        <f t="array" aca="1" ref="C322" ca="1">INDIRECT(ADDRESS(myRAND(1,C$2,C$8:C$9)+5,C$1))</f>
        <v>0</v>
      </c>
      <c r="D322" cm="1">
        <f t="array" aca="1" ref="D322" ca="1">INDIRECT(ADDRESS(myRAND(1,D$2,D$8:D$9)+5,D$1))</f>
        <v>1</v>
      </c>
      <c r="E322" cm="1">
        <f t="array" aca="1" ref="E322" ca="1">INDIRECT(ADDRESS(myRAND(1,E$2,E$8:E$9)+5,E$1))</f>
        <v>1</v>
      </c>
      <c r="F322" cm="1">
        <f t="array" aca="1" ref="F322" ca="1">INDIRECT(ADDRESS(myRAND(1,F$2,F$8:F$9)+5,F$1))</f>
        <v>1</v>
      </c>
      <c r="G322" cm="1">
        <f t="array" aca="1" ref="G322" ca="1">INDIRECT(ADDRESS(myRAND(1,G$2,G$8:G$9)+5,G$1))</f>
        <v>0</v>
      </c>
      <c r="H322" cm="1">
        <f t="array" aca="1" ref="H322" ca="1">INDIRECT(ADDRESS(myRAND(1,H$2,H$8:H$9)+5,H$1))</f>
        <v>0</v>
      </c>
      <c r="I322" cm="1">
        <f t="array" aca="1" ref="I322" ca="1">INDIRECT(ADDRESS(myRAND(1,I$2,I$8:I$9)+5,I$1))</f>
        <v>1</v>
      </c>
      <c r="J322">
        <f t="shared" ca="1" si="44"/>
        <v>19</v>
      </c>
      <c r="K322">
        <f t="shared" ca="1" si="44"/>
        <v>196</v>
      </c>
      <c r="L322" s="3">
        <f t="shared" ca="1" si="46"/>
        <v>2</v>
      </c>
      <c r="M322" s="13">
        <f t="shared" ca="1" si="47"/>
        <v>0.21585281082251456</v>
      </c>
      <c r="N322">
        <f t="shared" ca="1" si="48"/>
        <v>-1.29</v>
      </c>
      <c r="O322">
        <f t="shared" ca="1" si="49"/>
        <v>1</v>
      </c>
      <c r="P322">
        <f t="shared" ca="1" si="50"/>
        <v>0</v>
      </c>
      <c r="Q322">
        <f t="shared" ca="1" si="51"/>
        <v>0</v>
      </c>
      <c r="R322">
        <f t="shared" ca="1" si="52"/>
        <v>0</v>
      </c>
      <c r="S322">
        <f t="shared" ca="1" si="53"/>
        <v>1</v>
      </c>
      <c r="T322" s="17">
        <f t="shared" ca="1" si="54"/>
        <v>5.1338095238095232</v>
      </c>
    </row>
    <row r="323" spans="2:20" x14ac:dyDescent="0.3">
      <c r="B323">
        <f t="shared" ca="1" si="45"/>
        <v>35</v>
      </c>
      <c r="C323" cm="1">
        <f t="array" aca="1" ref="C323" ca="1">INDIRECT(ADDRESS(myRAND(1,C$2,C$8:C$9)+5,C$1))</f>
        <v>0</v>
      </c>
      <c r="D323" cm="1">
        <f t="array" aca="1" ref="D323" ca="1">INDIRECT(ADDRESS(myRAND(1,D$2,D$8:D$9)+5,D$1))</f>
        <v>0</v>
      </c>
      <c r="E323" cm="1">
        <f t="array" aca="1" ref="E323" ca="1">INDIRECT(ADDRESS(myRAND(1,E$2,E$8:E$9)+5,E$1))</f>
        <v>1</v>
      </c>
      <c r="F323" cm="1">
        <f t="array" aca="1" ref="F323" ca="1">INDIRECT(ADDRESS(myRAND(1,F$2,F$8:F$9)+5,F$1))</f>
        <v>0</v>
      </c>
      <c r="G323" cm="1">
        <f t="array" aca="1" ref="G323" ca="1">INDIRECT(ADDRESS(myRAND(1,G$2,G$8:G$9)+5,G$1))</f>
        <v>0</v>
      </c>
      <c r="H323" cm="1">
        <f t="array" aca="1" ref="H323" ca="1">INDIRECT(ADDRESS(myRAND(1,H$2,H$8:H$9)+5,H$1))</f>
        <v>0</v>
      </c>
      <c r="I323" cm="1">
        <f t="array" aca="1" ref="I323" ca="1">INDIRECT(ADDRESS(myRAND(1,I$2,I$8:I$9)+5,I$1))</f>
        <v>1</v>
      </c>
      <c r="J323">
        <f t="shared" ca="1" si="44"/>
        <v>9</v>
      </c>
      <c r="K323">
        <f t="shared" ca="1" si="44"/>
        <v>236</v>
      </c>
      <c r="L323" s="3">
        <f t="shared" ca="1" si="46"/>
        <v>1</v>
      </c>
      <c r="M323" s="13">
        <f t="shared" ca="1" si="47"/>
        <v>4.8799722998800005E-2</v>
      </c>
      <c r="N323">
        <f t="shared" ca="1" si="48"/>
        <v>-2.9699999999999998</v>
      </c>
      <c r="O323">
        <f t="shared" ca="1" si="49"/>
        <v>0</v>
      </c>
      <c r="P323">
        <f t="shared" ca="1" si="50"/>
        <v>0</v>
      </c>
      <c r="Q323">
        <f t="shared" ca="1" si="51"/>
        <v>1</v>
      </c>
      <c r="R323">
        <f t="shared" ca="1" si="52"/>
        <v>0</v>
      </c>
      <c r="S323">
        <f t="shared" ca="1" si="53"/>
        <v>1</v>
      </c>
      <c r="T323" s="17">
        <f t="shared" ca="1" si="54"/>
        <v>4.3976190476190471</v>
      </c>
    </row>
    <row r="324" spans="2:20" x14ac:dyDescent="0.3">
      <c r="B324">
        <f t="shared" ca="1" si="45"/>
        <v>47</v>
      </c>
      <c r="C324" cm="1">
        <f t="array" aca="1" ref="C324" ca="1">INDIRECT(ADDRESS(myRAND(1,C$2,C$8:C$9)+5,C$1))</f>
        <v>1</v>
      </c>
      <c r="D324" cm="1">
        <f t="array" aca="1" ref="D324" ca="1">INDIRECT(ADDRESS(myRAND(1,D$2,D$8:D$9)+5,D$1))</f>
        <v>0</v>
      </c>
      <c r="E324" cm="1">
        <f t="array" aca="1" ref="E324" ca="1">INDIRECT(ADDRESS(myRAND(1,E$2,E$8:E$9)+5,E$1))</f>
        <v>0</v>
      </c>
      <c r="F324" cm="1">
        <f t="array" aca="1" ref="F324" ca="1">INDIRECT(ADDRESS(myRAND(1,F$2,F$8:F$9)+5,F$1))</f>
        <v>1</v>
      </c>
      <c r="G324" cm="1">
        <f t="array" aca="1" ref="G324" ca="1">INDIRECT(ADDRESS(myRAND(1,G$2,G$8:G$9)+5,G$1))</f>
        <v>0</v>
      </c>
      <c r="H324" cm="1">
        <f t="array" aca="1" ref="H324" ca="1">INDIRECT(ADDRESS(myRAND(1,H$2,H$8:H$9)+5,H$1))</f>
        <v>0</v>
      </c>
      <c r="I324" cm="1">
        <f t="array" aca="1" ref="I324" ca="1">INDIRECT(ADDRESS(myRAND(1,I$2,I$8:I$9)+5,I$1))</f>
        <v>0</v>
      </c>
      <c r="J324">
        <f t="shared" ca="1" si="44"/>
        <v>21</v>
      </c>
      <c r="K324">
        <f t="shared" ca="1" si="44"/>
        <v>209</v>
      </c>
      <c r="L324" s="3">
        <f t="shared" ca="1" si="46"/>
        <v>3</v>
      </c>
      <c r="M324" s="13">
        <f t="shared" ca="1" si="47"/>
        <v>0.24048908305088887</v>
      </c>
      <c r="N324">
        <f t="shared" ca="1" si="48"/>
        <v>-1.1500000000000001</v>
      </c>
      <c r="O324">
        <f t="shared" ca="1" si="49"/>
        <v>0</v>
      </c>
      <c r="P324">
        <f t="shared" ca="1" si="50"/>
        <v>0</v>
      </c>
      <c r="Q324">
        <f t="shared" ca="1" si="51"/>
        <v>1</v>
      </c>
      <c r="R324">
        <f t="shared" ca="1" si="52"/>
        <v>0</v>
      </c>
      <c r="S324">
        <f t="shared" ca="1" si="53"/>
        <v>0</v>
      </c>
      <c r="T324" s="17">
        <f t="shared" ca="1" si="54"/>
        <v>3.1890476190476189</v>
      </c>
    </row>
    <row r="325" spans="2:20" x14ac:dyDescent="0.3">
      <c r="B325">
        <f t="shared" ca="1" si="45"/>
        <v>31</v>
      </c>
      <c r="C325" cm="1">
        <f t="array" aca="1" ref="C325" ca="1">INDIRECT(ADDRESS(myRAND(1,C$2,C$8:C$9)+5,C$1))</f>
        <v>0</v>
      </c>
      <c r="D325" cm="1">
        <f t="array" aca="1" ref="D325" ca="1">INDIRECT(ADDRESS(myRAND(1,D$2,D$8:D$9)+5,D$1))</f>
        <v>0</v>
      </c>
      <c r="E325" cm="1">
        <f t="array" aca="1" ref="E325" ca="1">INDIRECT(ADDRESS(myRAND(1,E$2,E$8:E$9)+5,E$1))</f>
        <v>0</v>
      </c>
      <c r="F325" cm="1">
        <f t="array" aca="1" ref="F325" ca="1">INDIRECT(ADDRESS(myRAND(1,F$2,F$8:F$9)+5,F$1))</f>
        <v>0</v>
      </c>
      <c r="G325" cm="1">
        <f t="array" aca="1" ref="G325" ca="1">INDIRECT(ADDRESS(myRAND(1,G$2,G$8:G$9)+5,G$1))</f>
        <v>1</v>
      </c>
      <c r="H325" cm="1">
        <f t="array" aca="1" ref="H325" ca="1">INDIRECT(ADDRESS(myRAND(1,H$2,H$8:H$9)+5,H$1))</f>
        <v>0</v>
      </c>
      <c r="I325" cm="1">
        <f t="array" aca="1" ref="I325" ca="1">INDIRECT(ADDRESS(myRAND(1,I$2,I$8:I$9)+5,I$1))</f>
        <v>0</v>
      </c>
      <c r="J325">
        <f t="shared" ca="1" si="44"/>
        <v>19</v>
      </c>
      <c r="K325">
        <f t="shared" ca="1" si="44"/>
        <v>184</v>
      </c>
      <c r="L325" s="3">
        <f t="shared" ca="1" si="46"/>
        <v>1</v>
      </c>
      <c r="M325" s="13">
        <f t="shared" ca="1" si="47"/>
        <v>4.1886607057792714E-2</v>
      </c>
      <c r="N325">
        <f t="shared" ca="1" si="48"/>
        <v>-3.13</v>
      </c>
      <c r="O325">
        <f t="shared" ca="1" si="49"/>
        <v>0</v>
      </c>
      <c r="P325">
        <f t="shared" ca="1" si="50"/>
        <v>0</v>
      </c>
      <c r="Q325">
        <f t="shared" ca="1" si="51"/>
        <v>0</v>
      </c>
      <c r="R325">
        <f t="shared" ca="1" si="52"/>
        <v>0</v>
      </c>
      <c r="S325">
        <f t="shared" ca="1" si="53"/>
        <v>1</v>
      </c>
      <c r="T325" s="17">
        <f t="shared" ca="1" si="54"/>
        <v>1.7766666666666666</v>
      </c>
    </row>
    <row r="326" spans="2:20" x14ac:dyDescent="0.3">
      <c r="B326">
        <f t="shared" ca="1" si="45"/>
        <v>71</v>
      </c>
      <c r="C326" cm="1">
        <f t="array" aca="1" ref="C326" ca="1">INDIRECT(ADDRESS(myRAND(1,C$2,C$8:C$9)+5,C$1))</f>
        <v>1</v>
      </c>
      <c r="D326" cm="1">
        <f t="array" aca="1" ref="D326" ca="1">INDIRECT(ADDRESS(myRAND(1,D$2,D$8:D$9)+5,D$1))</f>
        <v>1</v>
      </c>
      <c r="E326" cm="1">
        <f t="array" aca="1" ref="E326" ca="1">INDIRECT(ADDRESS(myRAND(1,E$2,E$8:E$9)+5,E$1))</f>
        <v>1</v>
      </c>
      <c r="F326" cm="1">
        <f t="array" aca="1" ref="F326" ca="1">INDIRECT(ADDRESS(myRAND(1,F$2,F$8:F$9)+5,F$1))</f>
        <v>0</v>
      </c>
      <c r="G326" cm="1">
        <f t="array" aca="1" ref="G326" ca="1">INDIRECT(ADDRESS(myRAND(1,G$2,G$8:G$9)+5,G$1))</f>
        <v>0</v>
      </c>
      <c r="H326" cm="1">
        <f t="array" aca="1" ref="H326" ca="1">INDIRECT(ADDRESS(myRAND(1,H$2,H$8:H$9)+5,H$1))</f>
        <v>0</v>
      </c>
      <c r="I326" cm="1">
        <f t="array" aca="1" ref="I326" ca="1">INDIRECT(ADDRESS(myRAND(1,I$2,I$8:I$9)+5,I$1))</f>
        <v>1</v>
      </c>
      <c r="J326">
        <f t="shared" ca="1" si="44"/>
        <v>14</v>
      </c>
      <c r="K326">
        <f t="shared" ca="1" si="44"/>
        <v>202</v>
      </c>
      <c r="L326" s="3">
        <f t="shared" ca="1" si="46"/>
        <v>3</v>
      </c>
      <c r="M326" s="13">
        <f t="shared" ca="1" si="47"/>
        <v>0.84683628423491375</v>
      </c>
      <c r="N326">
        <f t="shared" ca="1" si="48"/>
        <v>1.7099999999999997</v>
      </c>
      <c r="O326">
        <f t="shared" ca="1" si="49"/>
        <v>0</v>
      </c>
      <c r="P326">
        <f t="shared" ca="1" si="50"/>
        <v>1</v>
      </c>
      <c r="Q326">
        <f t="shared" ca="1" si="51"/>
        <v>0</v>
      </c>
      <c r="R326">
        <f t="shared" ca="1" si="52"/>
        <v>0</v>
      </c>
      <c r="S326">
        <f t="shared" ca="1" si="53"/>
        <v>1</v>
      </c>
      <c r="T326" s="17">
        <f t="shared" ca="1" si="54"/>
        <v>5.9290476190476191</v>
      </c>
    </row>
    <row r="327" spans="2:20" x14ac:dyDescent="0.3">
      <c r="B327">
        <f t="shared" ca="1" si="45"/>
        <v>64</v>
      </c>
      <c r="C327" cm="1">
        <f t="array" aca="1" ref="C327" ca="1">INDIRECT(ADDRESS(myRAND(1,C$2,C$8:C$9)+5,C$1))</f>
        <v>1</v>
      </c>
      <c r="D327" cm="1">
        <f t="array" aca="1" ref="D327" ca="1">INDIRECT(ADDRESS(myRAND(1,D$2,D$8:D$9)+5,D$1))</f>
        <v>0</v>
      </c>
      <c r="E327" cm="1">
        <f t="array" aca="1" ref="E327" ca="1">INDIRECT(ADDRESS(myRAND(1,E$2,E$8:E$9)+5,E$1))</f>
        <v>0</v>
      </c>
      <c r="F327" cm="1">
        <f t="array" aca="1" ref="F327" ca="1">INDIRECT(ADDRESS(myRAND(1,F$2,F$8:F$9)+5,F$1))</f>
        <v>1</v>
      </c>
      <c r="G327" cm="1">
        <f t="array" aca="1" ref="G327" ca="1">INDIRECT(ADDRESS(myRAND(1,G$2,G$8:G$9)+5,G$1))</f>
        <v>1</v>
      </c>
      <c r="H327" cm="1">
        <f t="array" aca="1" ref="H327" ca="1">INDIRECT(ADDRESS(myRAND(1,H$2,H$8:H$9)+5,H$1))</f>
        <v>0</v>
      </c>
      <c r="I327" cm="1">
        <f t="array" aca="1" ref="I327" ca="1">INDIRECT(ADDRESS(myRAND(1,I$2,I$8:I$9)+5,I$1))</f>
        <v>0</v>
      </c>
      <c r="J327">
        <f t="shared" ca="1" si="44"/>
        <v>16</v>
      </c>
      <c r="K327">
        <f t="shared" ca="1" si="44"/>
        <v>244</v>
      </c>
      <c r="L327" s="3">
        <f t="shared" ca="1" si="46"/>
        <v>3</v>
      </c>
      <c r="M327" s="13">
        <f t="shared" ca="1" si="47"/>
        <v>0.38461624360881785</v>
      </c>
      <c r="N327">
        <f t="shared" ca="1" si="48"/>
        <v>-0.47</v>
      </c>
      <c r="O327">
        <f t="shared" ca="1" si="49"/>
        <v>0</v>
      </c>
      <c r="P327">
        <f t="shared" ca="1" si="50"/>
        <v>0</v>
      </c>
      <c r="Q327">
        <f t="shared" ca="1" si="51"/>
        <v>1</v>
      </c>
      <c r="R327">
        <f t="shared" ca="1" si="52"/>
        <v>0</v>
      </c>
      <c r="S327">
        <f t="shared" ca="1" si="53"/>
        <v>1</v>
      </c>
      <c r="T327" s="17">
        <f t="shared" ca="1" si="54"/>
        <v>3.1923809523809519</v>
      </c>
    </row>
    <row r="328" spans="2:20" x14ac:dyDescent="0.3">
      <c r="B328">
        <f t="shared" ca="1" si="45"/>
        <v>47</v>
      </c>
      <c r="C328" cm="1">
        <f t="array" aca="1" ref="C328" ca="1">INDIRECT(ADDRESS(myRAND(1,C$2,C$8:C$9)+5,C$1))</f>
        <v>0</v>
      </c>
      <c r="D328" cm="1">
        <f t="array" aca="1" ref="D328" ca="1">INDIRECT(ADDRESS(myRAND(1,D$2,D$8:D$9)+5,D$1))</f>
        <v>1</v>
      </c>
      <c r="E328" cm="1">
        <f t="array" aca="1" ref="E328" ca="1">INDIRECT(ADDRESS(myRAND(1,E$2,E$8:E$9)+5,E$1))</f>
        <v>0</v>
      </c>
      <c r="F328" cm="1">
        <f t="array" aca="1" ref="F328" ca="1">INDIRECT(ADDRESS(myRAND(1,F$2,F$8:F$9)+5,F$1))</f>
        <v>0</v>
      </c>
      <c r="G328" cm="1">
        <f t="array" aca="1" ref="G328" ca="1">INDIRECT(ADDRESS(myRAND(1,G$2,G$8:G$9)+5,G$1))</f>
        <v>1</v>
      </c>
      <c r="H328" cm="1">
        <f t="array" aca="1" ref="H328" ca="1">INDIRECT(ADDRESS(myRAND(1,H$2,H$8:H$9)+5,H$1))</f>
        <v>0</v>
      </c>
      <c r="I328" cm="1">
        <f t="array" aca="1" ref="I328" ca="1">INDIRECT(ADDRESS(myRAND(1,I$2,I$8:I$9)+5,I$1))</f>
        <v>0</v>
      </c>
      <c r="J328">
        <f t="shared" ca="1" si="44"/>
        <v>14</v>
      </c>
      <c r="K328">
        <f t="shared" ca="1" si="44"/>
        <v>224</v>
      </c>
      <c r="L328" s="3">
        <f t="shared" ca="1" si="46"/>
        <v>1</v>
      </c>
      <c r="M328" s="13">
        <f t="shared" ca="1" si="47"/>
        <v>7.6562197351812147E-2</v>
      </c>
      <c r="N328">
        <f t="shared" ca="1" si="48"/>
        <v>-2.4900000000000002</v>
      </c>
      <c r="O328">
        <f t="shared" ca="1" si="49"/>
        <v>0</v>
      </c>
      <c r="P328">
        <f t="shared" ca="1" si="50"/>
        <v>0</v>
      </c>
      <c r="Q328">
        <f t="shared" ca="1" si="51"/>
        <v>1</v>
      </c>
      <c r="R328">
        <f t="shared" ca="1" si="52"/>
        <v>0</v>
      </c>
      <c r="S328">
        <f t="shared" ca="1" si="53"/>
        <v>1</v>
      </c>
      <c r="T328" s="17">
        <f t="shared" ca="1" si="54"/>
        <v>1.7938095238095237</v>
      </c>
    </row>
    <row r="329" spans="2:20" x14ac:dyDescent="0.3">
      <c r="B329">
        <f t="shared" ca="1" si="45"/>
        <v>49</v>
      </c>
      <c r="C329" cm="1">
        <f t="array" aca="1" ref="C329" ca="1">INDIRECT(ADDRESS(myRAND(1,C$2,C$8:C$9)+5,C$1))</f>
        <v>1</v>
      </c>
      <c r="D329" cm="1">
        <f t="array" aca="1" ref="D329" ca="1">INDIRECT(ADDRESS(myRAND(1,D$2,D$8:D$9)+5,D$1))</f>
        <v>1</v>
      </c>
      <c r="E329" cm="1">
        <f t="array" aca="1" ref="E329" ca="1">INDIRECT(ADDRESS(myRAND(1,E$2,E$8:E$9)+5,E$1))</f>
        <v>1</v>
      </c>
      <c r="F329" cm="1">
        <f t="array" aca="1" ref="F329" ca="1">INDIRECT(ADDRESS(myRAND(1,F$2,F$8:F$9)+5,F$1))</f>
        <v>1</v>
      </c>
      <c r="G329" cm="1">
        <f t="array" aca="1" ref="G329" ca="1">INDIRECT(ADDRESS(myRAND(1,G$2,G$8:G$9)+5,G$1))</f>
        <v>0</v>
      </c>
      <c r="H329" cm="1">
        <f t="array" aca="1" ref="H329" ca="1">INDIRECT(ADDRESS(myRAND(1,H$2,H$8:H$9)+5,H$1))</f>
        <v>0</v>
      </c>
      <c r="I329" cm="1">
        <f t="array" aca="1" ref="I329" ca="1">INDIRECT(ADDRESS(myRAND(1,I$2,I$8:I$9)+5,I$1))</f>
        <v>1</v>
      </c>
      <c r="J329">
        <f t="shared" ca="1" si="44"/>
        <v>13</v>
      </c>
      <c r="K329">
        <f t="shared" ca="1" si="44"/>
        <v>185</v>
      </c>
      <c r="L329" s="3">
        <f t="shared" ca="1" si="46"/>
        <v>3</v>
      </c>
      <c r="M329" s="13">
        <f t="shared" ca="1" si="47"/>
        <v>0.3941263315682394</v>
      </c>
      <c r="N329">
        <f t="shared" ca="1" si="48"/>
        <v>-0.43000000000000005</v>
      </c>
      <c r="O329">
        <f t="shared" ca="1" si="49"/>
        <v>1</v>
      </c>
      <c r="P329">
        <f t="shared" ca="1" si="50"/>
        <v>0</v>
      </c>
      <c r="Q329">
        <f t="shared" ca="1" si="51"/>
        <v>0</v>
      </c>
      <c r="R329">
        <f t="shared" ca="1" si="52"/>
        <v>0</v>
      </c>
      <c r="S329">
        <f t="shared" ca="1" si="53"/>
        <v>1</v>
      </c>
      <c r="T329" s="17">
        <f t="shared" ca="1" si="54"/>
        <v>5.5614285714285714</v>
      </c>
    </row>
    <row r="330" spans="2:20" x14ac:dyDescent="0.3">
      <c r="B330">
        <f t="shared" ca="1" si="45"/>
        <v>34</v>
      </c>
      <c r="C330" cm="1">
        <f t="array" aca="1" ref="C330" ca="1">INDIRECT(ADDRESS(myRAND(1,C$2,C$8:C$9)+5,C$1))</f>
        <v>1</v>
      </c>
      <c r="D330" cm="1">
        <f t="array" aca="1" ref="D330" ca="1">INDIRECT(ADDRESS(myRAND(1,D$2,D$8:D$9)+5,D$1))</f>
        <v>1</v>
      </c>
      <c r="E330" cm="1">
        <f t="array" aca="1" ref="E330" ca="1">INDIRECT(ADDRESS(myRAND(1,E$2,E$8:E$9)+5,E$1))</f>
        <v>0</v>
      </c>
      <c r="F330" cm="1">
        <f t="array" aca="1" ref="F330" ca="1">INDIRECT(ADDRESS(myRAND(1,F$2,F$8:F$9)+5,F$1))</f>
        <v>1</v>
      </c>
      <c r="G330" cm="1">
        <f t="array" aca="1" ref="G330" ca="1">INDIRECT(ADDRESS(myRAND(1,G$2,G$8:G$9)+5,G$1))</f>
        <v>1</v>
      </c>
      <c r="H330" cm="1">
        <f t="array" aca="1" ref="H330" ca="1">INDIRECT(ADDRESS(myRAND(1,H$2,H$8:H$9)+5,H$1))</f>
        <v>0</v>
      </c>
      <c r="I330" cm="1">
        <f t="array" aca="1" ref="I330" ca="1">INDIRECT(ADDRESS(myRAND(1,I$2,I$8:I$9)+5,I$1))</f>
        <v>1</v>
      </c>
      <c r="J330">
        <f t="shared" ca="1" si="44"/>
        <v>14</v>
      </c>
      <c r="K330">
        <f t="shared" ca="1" si="44"/>
        <v>249</v>
      </c>
      <c r="L330" s="3">
        <f t="shared" ca="1" si="46"/>
        <v>2</v>
      </c>
      <c r="M330" s="13">
        <f t="shared" ca="1" si="47"/>
        <v>0.55724785459855564</v>
      </c>
      <c r="N330">
        <f t="shared" ca="1" si="48"/>
        <v>0.2300000000000002</v>
      </c>
      <c r="O330">
        <f t="shared" ca="1" si="49"/>
        <v>0</v>
      </c>
      <c r="P330">
        <f t="shared" ca="1" si="50"/>
        <v>1</v>
      </c>
      <c r="Q330">
        <f t="shared" ca="1" si="51"/>
        <v>0</v>
      </c>
      <c r="R330">
        <f t="shared" ca="1" si="52"/>
        <v>0</v>
      </c>
      <c r="S330">
        <f t="shared" ca="1" si="53"/>
        <v>2</v>
      </c>
      <c r="T330" s="17">
        <f t="shared" ca="1" si="54"/>
        <v>5.7828571428571429</v>
      </c>
    </row>
    <row r="331" spans="2:20" x14ac:dyDescent="0.3">
      <c r="B331">
        <f t="shared" ca="1" si="45"/>
        <v>38</v>
      </c>
      <c r="C331" cm="1">
        <f t="array" aca="1" ref="C331" ca="1">INDIRECT(ADDRESS(myRAND(1,C$2,C$8:C$9)+5,C$1))</f>
        <v>0</v>
      </c>
      <c r="D331" cm="1">
        <f t="array" aca="1" ref="D331" ca="1">INDIRECT(ADDRESS(myRAND(1,D$2,D$8:D$9)+5,D$1))</f>
        <v>0</v>
      </c>
      <c r="E331" cm="1">
        <f t="array" aca="1" ref="E331" ca="1">INDIRECT(ADDRESS(myRAND(1,E$2,E$8:E$9)+5,E$1))</f>
        <v>1</v>
      </c>
      <c r="F331" cm="1">
        <f t="array" aca="1" ref="F331" ca="1">INDIRECT(ADDRESS(myRAND(1,F$2,F$8:F$9)+5,F$1))</f>
        <v>0</v>
      </c>
      <c r="G331" cm="1">
        <f t="array" aca="1" ref="G331" ca="1">INDIRECT(ADDRESS(myRAND(1,G$2,G$8:G$9)+5,G$1))</f>
        <v>0</v>
      </c>
      <c r="H331" cm="1">
        <f t="array" aca="1" ref="H331" ca="1">INDIRECT(ADDRESS(myRAND(1,H$2,H$8:H$9)+5,H$1))</f>
        <v>0</v>
      </c>
      <c r="I331" cm="1">
        <f t="array" aca="1" ref="I331" ca="1">INDIRECT(ADDRESS(myRAND(1,I$2,I$8:I$9)+5,I$1))</f>
        <v>0</v>
      </c>
      <c r="J331">
        <f t="shared" ca="1" si="44"/>
        <v>19</v>
      </c>
      <c r="K331">
        <f t="shared" ca="1" si="44"/>
        <v>192</v>
      </c>
      <c r="L331" s="3">
        <f t="shared" ca="1" si="46"/>
        <v>1</v>
      </c>
      <c r="M331" s="13">
        <f t="shared" ca="1" si="47"/>
        <v>5.4681317215940758E-2</v>
      </c>
      <c r="N331">
        <f t="shared" ca="1" si="48"/>
        <v>-2.85</v>
      </c>
      <c r="O331">
        <f t="shared" ca="1" si="49"/>
        <v>0</v>
      </c>
      <c r="P331">
        <f t="shared" ca="1" si="50"/>
        <v>0</v>
      </c>
      <c r="Q331">
        <f t="shared" ca="1" si="51"/>
        <v>1</v>
      </c>
      <c r="R331">
        <f t="shared" ca="1" si="52"/>
        <v>0</v>
      </c>
      <c r="S331">
        <f t="shared" ca="1" si="53"/>
        <v>0</v>
      </c>
      <c r="T331" s="17">
        <f t="shared" ca="1" si="54"/>
        <v>1.8847619047619046</v>
      </c>
    </row>
    <row r="332" spans="2:20" x14ac:dyDescent="0.3">
      <c r="B332">
        <f t="shared" ca="1" si="45"/>
        <v>38</v>
      </c>
      <c r="C332" cm="1">
        <f t="array" aca="1" ref="C332" ca="1">INDIRECT(ADDRESS(myRAND(1,C$2,C$8:C$9)+5,C$1))</f>
        <v>1</v>
      </c>
      <c r="D332" cm="1">
        <f t="array" aca="1" ref="D332" ca="1">INDIRECT(ADDRESS(myRAND(1,D$2,D$8:D$9)+5,D$1))</f>
        <v>1</v>
      </c>
      <c r="E332" cm="1">
        <f t="array" aca="1" ref="E332" ca="1">INDIRECT(ADDRESS(myRAND(1,E$2,E$8:E$9)+5,E$1))</f>
        <v>1</v>
      </c>
      <c r="F332" cm="1">
        <f t="array" aca="1" ref="F332" ca="1">INDIRECT(ADDRESS(myRAND(1,F$2,F$8:F$9)+5,F$1))</f>
        <v>0</v>
      </c>
      <c r="G332" cm="1">
        <f t="array" aca="1" ref="G332" ca="1">INDIRECT(ADDRESS(myRAND(1,G$2,G$8:G$9)+5,G$1))</f>
        <v>0</v>
      </c>
      <c r="H332" cm="1">
        <f t="array" aca="1" ref="H332" ca="1">INDIRECT(ADDRESS(myRAND(1,H$2,H$8:H$9)+5,H$1))</f>
        <v>0</v>
      </c>
      <c r="I332" cm="1">
        <f t="array" aca="1" ref="I332" ca="1">INDIRECT(ADDRESS(myRAND(1,I$2,I$8:I$9)+5,I$1))</f>
        <v>1</v>
      </c>
      <c r="J332">
        <f t="shared" ca="1" si="44"/>
        <v>15</v>
      </c>
      <c r="K332">
        <f t="shared" ca="1" si="44"/>
        <v>247</v>
      </c>
      <c r="L332" s="3">
        <f t="shared" ca="1" si="46"/>
        <v>3</v>
      </c>
      <c r="M332" s="13">
        <f t="shared" ca="1" si="47"/>
        <v>0.59628269929678779</v>
      </c>
      <c r="N332">
        <f t="shared" ca="1" si="48"/>
        <v>0.3899999999999999</v>
      </c>
      <c r="O332">
        <f t="shared" ca="1" si="49"/>
        <v>0</v>
      </c>
      <c r="P332">
        <f t="shared" ca="1" si="50"/>
        <v>1</v>
      </c>
      <c r="Q332">
        <f t="shared" ca="1" si="51"/>
        <v>0</v>
      </c>
      <c r="R332">
        <f t="shared" ca="1" si="52"/>
        <v>0</v>
      </c>
      <c r="S332">
        <f t="shared" ca="1" si="53"/>
        <v>1</v>
      </c>
      <c r="T332" s="17">
        <f t="shared" ca="1" si="54"/>
        <v>5.88</v>
      </c>
    </row>
    <row r="333" spans="2:20" x14ac:dyDescent="0.3">
      <c r="B333">
        <f t="shared" ca="1" si="45"/>
        <v>55</v>
      </c>
      <c r="C333" cm="1">
        <f t="array" aca="1" ref="C333" ca="1">INDIRECT(ADDRESS(myRAND(1,C$2,C$8:C$9)+5,C$1))</f>
        <v>0</v>
      </c>
      <c r="D333" cm="1">
        <f t="array" aca="1" ref="D333" ca="1">INDIRECT(ADDRESS(myRAND(1,D$2,D$8:D$9)+5,D$1))</f>
        <v>1</v>
      </c>
      <c r="E333" cm="1">
        <f t="array" aca="1" ref="E333" ca="1">INDIRECT(ADDRESS(myRAND(1,E$2,E$8:E$9)+5,E$1))</f>
        <v>1</v>
      </c>
      <c r="F333" cm="1">
        <f t="array" aca="1" ref="F333" ca="1">INDIRECT(ADDRESS(myRAND(1,F$2,F$8:F$9)+5,F$1))</f>
        <v>0</v>
      </c>
      <c r="G333" cm="1">
        <f t="array" aca="1" ref="G333" ca="1">INDIRECT(ADDRESS(myRAND(1,G$2,G$8:G$9)+5,G$1))</f>
        <v>0</v>
      </c>
      <c r="H333" cm="1">
        <f t="array" aca="1" ref="H333" ca="1">INDIRECT(ADDRESS(myRAND(1,H$2,H$8:H$9)+5,H$1))</f>
        <v>0</v>
      </c>
      <c r="I333" cm="1">
        <f t="array" aca="1" ref="I333" ca="1">INDIRECT(ADDRESS(myRAND(1,I$2,I$8:I$9)+5,I$1))</f>
        <v>0</v>
      </c>
      <c r="J333">
        <f t="shared" ca="1" si="44"/>
        <v>17</v>
      </c>
      <c r="K333">
        <f t="shared" ca="1" si="44"/>
        <v>224</v>
      </c>
      <c r="L333" s="3">
        <f t="shared" ca="1" si="46"/>
        <v>3</v>
      </c>
      <c r="M333" s="13">
        <f t="shared" ca="1" si="47"/>
        <v>0.43290709503454572</v>
      </c>
      <c r="N333">
        <f t="shared" ca="1" si="48"/>
        <v>-0.27</v>
      </c>
      <c r="O333">
        <f t="shared" ca="1" si="49"/>
        <v>0</v>
      </c>
      <c r="P333">
        <f t="shared" ca="1" si="50"/>
        <v>1</v>
      </c>
      <c r="Q333">
        <f t="shared" ca="1" si="51"/>
        <v>0</v>
      </c>
      <c r="R333">
        <f t="shared" ca="1" si="52"/>
        <v>0</v>
      </c>
      <c r="S333">
        <f t="shared" ca="1" si="53"/>
        <v>0</v>
      </c>
      <c r="T333" s="17">
        <f t="shared" ca="1" si="54"/>
        <v>2.0738095238095235</v>
      </c>
    </row>
    <row r="334" spans="2:20" x14ac:dyDescent="0.3">
      <c r="B334">
        <f t="shared" ca="1" si="45"/>
        <v>52</v>
      </c>
      <c r="C334" cm="1">
        <f t="array" aca="1" ref="C334" ca="1">INDIRECT(ADDRESS(myRAND(1,C$2,C$8:C$9)+5,C$1))</f>
        <v>1</v>
      </c>
      <c r="D334" cm="1">
        <f t="array" aca="1" ref="D334" ca="1">INDIRECT(ADDRESS(myRAND(1,D$2,D$8:D$9)+5,D$1))</f>
        <v>1</v>
      </c>
      <c r="E334" cm="1">
        <f t="array" aca="1" ref="E334" ca="1">INDIRECT(ADDRESS(myRAND(1,E$2,E$8:E$9)+5,E$1))</f>
        <v>0</v>
      </c>
      <c r="F334" cm="1">
        <f t="array" aca="1" ref="F334" ca="1">INDIRECT(ADDRESS(myRAND(1,F$2,F$8:F$9)+5,F$1))</f>
        <v>1</v>
      </c>
      <c r="G334" cm="1">
        <f t="array" aca="1" ref="G334" ca="1">INDIRECT(ADDRESS(myRAND(1,G$2,G$8:G$9)+5,G$1))</f>
        <v>0</v>
      </c>
      <c r="H334" cm="1">
        <f t="array" aca="1" ref="H334" ca="1">INDIRECT(ADDRESS(myRAND(1,H$2,H$8:H$9)+5,H$1))</f>
        <v>1</v>
      </c>
      <c r="I334" cm="1">
        <f t="array" aca="1" ref="I334" ca="1">INDIRECT(ADDRESS(myRAND(1,I$2,I$8:I$9)+5,I$1))</f>
        <v>0</v>
      </c>
      <c r="J334">
        <f t="shared" ca="1" si="44"/>
        <v>16</v>
      </c>
      <c r="K334">
        <f t="shared" ca="1" si="44"/>
        <v>214</v>
      </c>
      <c r="L334" s="3">
        <f t="shared" ca="1" si="46"/>
        <v>3</v>
      </c>
      <c r="M334" s="13">
        <f t="shared" ca="1" si="47"/>
        <v>0.72111517802286307</v>
      </c>
      <c r="N334">
        <f t="shared" ca="1" si="48"/>
        <v>0.95</v>
      </c>
      <c r="O334">
        <f t="shared" ca="1" si="49"/>
        <v>0</v>
      </c>
      <c r="P334">
        <f t="shared" ca="1" si="50"/>
        <v>1</v>
      </c>
      <c r="Q334">
        <f t="shared" ca="1" si="51"/>
        <v>0</v>
      </c>
      <c r="R334">
        <f t="shared" ca="1" si="52"/>
        <v>0</v>
      </c>
      <c r="S334">
        <f t="shared" ca="1" si="53"/>
        <v>1</v>
      </c>
      <c r="T334" s="17">
        <f t="shared" ca="1" si="54"/>
        <v>2.9295238095238094</v>
      </c>
    </row>
    <row r="335" spans="2:20" x14ac:dyDescent="0.3">
      <c r="B335">
        <f t="shared" ca="1" si="45"/>
        <v>48</v>
      </c>
      <c r="C335" cm="1">
        <f t="array" aca="1" ref="C335" ca="1">INDIRECT(ADDRESS(myRAND(1,C$2,C$8:C$9)+5,C$1))</f>
        <v>1</v>
      </c>
      <c r="D335" cm="1">
        <f t="array" aca="1" ref="D335" ca="1">INDIRECT(ADDRESS(myRAND(1,D$2,D$8:D$9)+5,D$1))</f>
        <v>0</v>
      </c>
      <c r="E335" cm="1">
        <f t="array" aca="1" ref="E335" ca="1">INDIRECT(ADDRESS(myRAND(1,E$2,E$8:E$9)+5,E$1))</f>
        <v>1</v>
      </c>
      <c r="F335" cm="1">
        <f t="array" aca="1" ref="F335" ca="1">INDIRECT(ADDRESS(myRAND(1,F$2,F$8:F$9)+5,F$1))</f>
        <v>1</v>
      </c>
      <c r="G335" cm="1">
        <f t="array" aca="1" ref="G335" ca="1">INDIRECT(ADDRESS(myRAND(1,G$2,G$8:G$9)+5,G$1))</f>
        <v>1</v>
      </c>
      <c r="H335" cm="1">
        <f t="array" aca="1" ref="H335" ca="1">INDIRECT(ADDRESS(myRAND(1,H$2,H$8:H$9)+5,H$1))</f>
        <v>1</v>
      </c>
      <c r="I335" cm="1">
        <f t="array" aca="1" ref="I335" ca="1">INDIRECT(ADDRESS(myRAND(1,I$2,I$8:I$9)+5,I$1))</f>
        <v>1</v>
      </c>
      <c r="J335">
        <f t="shared" ca="1" si="44"/>
        <v>14</v>
      </c>
      <c r="K335">
        <f t="shared" ca="1" si="44"/>
        <v>198</v>
      </c>
      <c r="L335" s="3">
        <f t="shared" ca="1" si="46"/>
        <v>3</v>
      </c>
      <c r="M335" s="13">
        <f t="shared" ca="1" si="47"/>
        <v>0.68783133058284041</v>
      </c>
      <c r="N335">
        <f t="shared" ca="1" si="48"/>
        <v>0.78999999999999981</v>
      </c>
      <c r="O335">
        <f t="shared" ca="1" si="49"/>
        <v>0</v>
      </c>
      <c r="P335">
        <f t="shared" ca="1" si="50"/>
        <v>1</v>
      </c>
      <c r="Q335">
        <f t="shared" ca="1" si="51"/>
        <v>0</v>
      </c>
      <c r="R335">
        <f t="shared" ca="1" si="52"/>
        <v>0</v>
      </c>
      <c r="S335">
        <f t="shared" ca="1" si="53"/>
        <v>3</v>
      </c>
      <c r="T335" s="17">
        <f t="shared" ca="1" si="54"/>
        <v>5.68</v>
      </c>
    </row>
    <row r="336" spans="2:20" x14ac:dyDescent="0.3">
      <c r="B336">
        <f t="shared" ca="1" si="45"/>
        <v>45</v>
      </c>
      <c r="C336" cm="1">
        <f t="array" aca="1" ref="C336" ca="1">INDIRECT(ADDRESS(myRAND(1,C$2,C$8:C$9)+5,C$1))</f>
        <v>0</v>
      </c>
      <c r="D336" cm="1">
        <f t="array" aca="1" ref="D336" ca="1">INDIRECT(ADDRESS(myRAND(1,D$2,D$8:D$9)+5,D$1))</f>
        <v>1</v>
      </c>
      <c r="E336" cm="1">
        <f t="array" aca="1" ref="E336" ca="1">INDIRECT(ADDRESS(myRAND(1,E$2,E$8:E$9)+5,E$1))</f>
        <v>1</v>
      </c>
      <c r="F336" cm="1">
        <f t="array" aca="1" ref="F336" ca="1">INDIRECT(ADDRESS(myRAND(1,F$2,F$8:F$9)+5,F$1))</f>
        <v>1</v>
      </c>
      <c r="G336" cm="1">
        <f t="array" aca="1" ref="G336" ca="1">INDIRECT(ADDRESS(myRAND(1,G$2,G$8:G$9)+5,G$1))</f>
        <v>0</v>
      </c>
      <c r="H336" cm="1">
        <f t="array" aca="1" ref="H336" ca="1">INDIRECT(ADDRESS(myRAND(1,H$2,H$8:H$9)+5,H$1))</f>
        <v>1</v>
      </c>
      <c r="I336" cm="1">
        <f t="array" aca="1" ref="I336" ca="1">INDIRECT(ADDRESS(myRAND(1,I$2,I$8:I$9)+5,I$1))</f>
        <v>1</v>
      </c>
      <c r="J336">
        <f t="shared" ref="J336:K399" ca="1" si="55">IF(ROUND(NORMINV(RAND(),J$6,J$7),0)&lt;J$8,J$8,ROUND(NORMINV(RAND(),J$6,J$7),0))</f>
        <v>13</v>
      </c>
      <c r="K336">
        <f t="shared" ca="1" si="55"/>
        <v>167</v>
      </c>
      <c r="L336" s="3">
        <f t="shared" ca="1" si="46"/>
        <v>1</v>
      </c>
      <c r="M336" s="13">
        <f t="shared" ca="1" si="47"/>
        <v>0.12675058012214077</v>
      </c>
      <c r="N336">
        <f t="shared" ca="1" si="48"/>
        <v>-1.9300000000000002</v>
      </c>
      <c r="O336">
        <f t="shared" ca="1" si="49"/>
        <v>1</v>
      </c>
      <c r="P336">
        <f t="shared" ca="1" si="50"/>
        <v>0</v>
      </c>
      <c r="Q336">
        <f t="shared" ca="1" si="51"/>
        <v>0</v>
      </c>
      <c r="R336">
        <f t="shared" ca="1" si="52"/>
        <v>0</v>
      </c>
      <c r="S336">
        <f t="shared" ca="1" si="53"/>
        <v>2</v>
      </c>
      <c r="T336" s="17">
        <f t="shared" ca="1" si="54"/>
        <v>4.4357142857142859</v>
      </c>
    </row>
    <row r="337" spans="2:20" x14ac:dyDescent="0.3">
      <c r="B337">
        <f t="shared" ref="B337:B400" ca="1" si="56">IF(ROUND(NORMINV(RAND(),B$6,B$7),0)&lt;B$8,B$8,ROUND(NORMINV(RAND(),B$6,B$7),0))</f>
        <v>58</v>
      </c>
      <c r="C337" cm="1">
        <f t="array" aca="1" ref="C337" ca="1">INDIRECT(ADDRESS(myRAND(1,C$2,C$8:C$9)+5,C$1))</f>
        <v>0</v>
      </c>
      <c r="D337" cm="1">
        <f t="array" aca="1" ref="D337" ca="1">INDIRECT(ADDRESS(myRAND(1,D$2,D$8:D$9)+5,D$1))</f>
        <v>0</v>
      </c>
      <c r="E337" cm="1">
        <f t="array" aca="1" ref="E337" ca="1">INDIRECT(ADDRESS(myRAND(1,E$2,E$8:E$9)+5,E$1))</f>
        <v>1</v>
      </c>
      <c r="F337" cm="1">
        <f t="array" aca="1" ref="F337" ca="1">INDIRECT(ADDRESS(myRAND(1,F$2,F$8:F$9)+5,F$1))</f>
        <v>1</v>
      </c>
      <c r="G337" cm="1">
        <f t="array" aca="1" ref="G337" ca="1">INDIRECT(ADDRESS(myRAND(1,G$2,G$8:G$9)+5,G$1))</f>
        <v>1</v>
      </c>
      <c r="H337" cm="1">
        <f t="array" aca="1" ref="H337" ca="1">INDIRECT(ADDRESS(myRAND(1,H$2,H$8:H$9)+5,H$1))</f>
        <v>0</v>
      </c>
      <c r="I337" cm="1">
        <f t="array" aca="1" ref="I337" ca="1">INDIRECT(ADDRESS(myRAND(1,I$2,I$8:I$9)+5,I$1))</f>
        <v>0</v>
      </c>
      <c r="J337">
        <f t="shared" ca="1" si="55"/>
        <v>10</v>
      </c>
      <c r="K337">
        <f t="shared" ca="1" si="55"/>
        <v>207</v>
      </c>
      <c r="L337" s="3">
        <f t="shared" ref="L337:L400" ca="1" si="57">IF(R337=0,IF(M337&lt;$M$11,1,IF(M337&lt;M333,2,3)),IF(AND(T337&lt;$M$8,S337&lt;$M$9),1,3))</f>
        <v>3</v>
      </c>
      <c r="M337" s="13">
        <f t="shared" ref="M337:M400" ca="1" si="58">1/(1+EXP(-N337))</f>
        <v>0.46257015465625034</v>
      </c>
      <c r="N337">
        <f t="shared" ref="N337:N400" ca="1" si="59">-4.37+0.04*B337+1.34 *C337+1.9 * P337+  0.64 *O337</f>
        <v>-0.15000000000000036</v>
      </c>
      <c r="O337">
        <f t="shared" ref="O337:O400" ca="1" si="60">IF(SUM(D337:F337)=3,1,0)</f>
        <v>0</v>
      </c>
      <c r="P337">
        <f t="shared" ref="P337:P400" ca="1" si="61">IF(SUM(D337:F337)=2,1,0)</f>
        <v>1</v>
      </c>
      <c r="Q337">
        <f t="shared" ref="Q337:Q400" ca="1" si="62">IF(SUM(D337:F337)=1,1,0)</f>
        <v>0</v>
      </c>
      <c r="R337">
        <f t="shared" ref="R337:R400" ca="1" si="63">IF(SUM(D337:G337)=0,1,0)</f>
        <v>0</v>
      </c>
      <c r="S337">
        <f t="shared" ref="S337:S400" ca="1" si="64">SUM(G337:I337)</f>
        <v>1</v>
      </c>
      <c r="T337" s="17">
        <f t="shared" ref="T337:T400" ca="1" si="65">(B337-20)/100 *$T$5 + C337*$T$6+(K337-100)/$K$6*$T$7+J337/$J$6*$T$8+I337*$T$9</f>
        <v>1.5561904761904761</v>
      </c>
    </row>
    <row r="338" spans="2:20" x14ac:dyDescent="0.3">
      <c r="B338">
        <f t="shared" ca="1" si="56"/>
        <v>58</v>
      </c>
      <c r="C338" cm="1">
        <f t="array" aca="1" ref="C338" ca="1">INDIRECT(ADDRESS(myRAND(1,C$2,C$8:C$9)+5,C$1))</f>
        <v>1</v>
      </c>
      <c r="D338" cm="1">
        <f t="array" aca="1" ref="D338" ca="1">INDIRECT(ADDRESS(myRAND(1,D$2,D$8:D$9)+5,D$1))</f>
        <v>1</v>
      </c>
      <c r="E338" cm="1">
        <f t="array" aca="1" ref="E338" ca="1">INDIRECT(ADDRESS(myRAND(1,E$2,E$8:E$9)+5,E$1))</f>
        <v>1</v>
      </c>
      <c r="F338" cm="1">
        <f t="array" aca="1" ref="F338" ca="1">INDIRECT(ADDRESS(myRAND(1,F$2,F$8:F$9)+5,F$1))</f>
        <v>1</v>
      </c>
      <c r="G338" cm="1">
        <f t="array" aca="1" ref="G338" ca="1">INDIRECT(ADDRESS(myRAND(1,G$2,G$8:G$9)+5,G$1))</f>
        <v>0</v>
      </c>
      <c r="H338" cm="1">
        <f t="array" aca="1" ref="H338" ca="1">INDIRECT(ADDRESS(myRAND(1,H$2,H$8:H$9)+5,H$1))</f>
        <v>0</v>
      </c>
      <c r="I338" cm="1">
        <f t="array" aca="1" ref="I338" ca="1">INDIRECT(ADDRESS(myRAND(1,I$2,I$8:I$9)+5,I$1))</f>
        <v>0</v>
      </c>
      <c r="J338">
        <f t="shared" ca="1" si="55"/>
        <v>13</v>
      </c>
      <c r="K338">
        <f t="shared" ca="1" si="55"/>
        <v>250</v>
      </c>
      <c r="L338" s="3">
        <f t="shared" ca="1" si="57"/>
        <v>2</v>
      </c>
      <c r="M338" s="13">
        <f t="shared" ca="1" si="58"/>
        <v>0.48250714233361014</v>
      </c>
      <c r="N338">
        <f t="shared" ca="1" si="59"/>
        <v>-7.0000000000000173E-2</v>
      </c>
      <c r="O338">
        <f t="shared" ca="1" si="60"/>
        <v>1</v>
      </c>
      <c r="P338">
        <f t="shared" ca="1" si="61"/>
        <v>0</v>
      </c>
      <c r="Q338">
        <f t="shared" ca="1" si="62"/>
        <v>0</v>
      </c>
      <c r="R338">
        <f t="shared" ca="1" si="63"/>
        <v>0</v>
      </c>
      <c r="S338">
        <f t="shared" ca="1" si="64"/>
        <v>0</v>
      </c>
      <c r="T338" s="17">
        <f t="shared" ca="1" si="65"/>
        <v>2.960952380952381</v>
      </c>
    </row>
    <row r="339" spans="2:20" x14ac:dyDescent="0.3">
      <c r="B339">
        <f t="shared" ca="1" si="56"/>
        <v>55</v>
      </c>
      <c r="C339" cm="1">
        <f t="array" aca="1" ref="C339" ca="1">INDIRECT(ADDRESS(myRAND(1,C$2,C$8:C$9)+5,C$1))</f>
        <v>0</v>
      </c>
      <c r="D339" cm="1">
        <f t="array" aca="1" ref="D339" ca="1">INDIRECT(ADDRESS(myRAND(1,D$2,D$8:D$9)+5,D$1))</f>
        <v>1</v>
      </c>
      <c r="E339" cm="1">
        <f t="array" aca="1" ref="E339" ca="1">INDIRECT(ADDRESS(myRAND(1,E$2,E$8:E$9)+5,E$1))</f>
        <v>1</v>
      </c>
      <c r="F339" cm="1">
        <f t="array" aca="1" ref="F339" ca="1">INDIRECT(ADDRESS(myRAND(1,F$2,F$8:F$9)+5,F$1))</f>
        <v>0</v>
      </c>
      <c r="G339" cm="1">
        <f t="array" aca="1" ref="G339" ca="1">INDIRECT(ADDRESS(myRAND(1,G$2,G$8:G$9)+5,G$1))</f>
        <v>1</v>
      </c>
      <c r="H339" cm="1">
        <f t="array" aca="1" ref="H339" ca="1">INDIRECT(ADDRESS(myRAND(1,H$2,H$8:H$9)+5,H$1))</f>
        <v>1</v>
      </c>
      <c r="I339" cm="1">
        <f t="array" aca="1" ref="I339" ca="1">INDIRECT(ADDRESS(myRAND(1,I$2,I$8:I$9)+5,I$1))</f>
        <v>0</v>
      </c>
      <c r="J339">
        <f t="shared" ca="1" si="55"/>
        <v>21</v>
      </c>
      <c r="K339">
        <f t="shared" ca="1" si="55"/>
        <v>199</v>
      </c>
      <c r="L339" s="3">
        <f t="shared" ca="1" si="57"/>
        <v>2</v>
      </c>
      <c r="M339" s="13">
        <f t="shared" ca="1" si="58"/>
        <v>0.43290709503454572</v>
      </c>
      <c r="N339">
        <f t="shared" ca="1" si="59"/>
        <v>-0.27</v>
      </c>
      <c r="O339">
        <f t="shared" ca="1" si="60"/>
        <v>0</v>
      </c>
      <c r="P339">
        <f t="shared" ca="1" si="61"/>
        <v>1</v>
      </c>
      <c r="Q339">
        <f t="shared" ca="1" si="62"/>
        <v>0</v>
      </c>
      <c r="R339">
        <f t="shared" ca="1" si="63"/>
        <v>0</v>
      </c>
      <c r="S339">
        <f t="shared" ca="1" si="64"/>
        <v>2</v>
      </c>
      <c r="T339" s="17">
        <f t="shared" ca="1" si="65"/>
        <v>2.2214285714285715</v>
      </c>
    </row>
    <row r="340" spans="2:20" x14ac:dyDescent="0.3">
      <c r="B340">
        <f t="shared" ca="1" si="56"/>
        <v>46</v>
      </c>
      <c r="C340" cm="1">
        <f t="array" aca="1" ref="C340" ca="1">INDIRECT(ADDRESS(myRAND(1,C$2,C$8:C$9)+5,C$1))</f>
        <v>0</v>
      </c>
      <c r="D340" cm="1">
        <f t="array" aca="1" ref="D340" ca="1">INDIRECT(ADDRESS(myRAND(1,D$2,D$8:D$9)+5,D$1))</f>
        <v>0</v>
      </c>
      <c r="E340" cm="1">
        <f t="array" aca="1" ref="E340" ca="1">INDIRECT(ADDRESS(myRAND(1,E$2,E$8:E$9)+5,E$1))</f>
        <v>0</v>
      </c>
      <c r="F340" cm="1">
        <f t="array" aca="1" ref="F340" ca="1">INDIRECT(ADDRESS(myRAND(1,F$2,F$8:F$9)+5,F$1))</f>
        <v>1</v>
      </c>
      <c r="G340" cm="1">
        <f t="array" aca="1" ref="G340" ca="1">INDIRECT(ADDRESS(myRAND(1,G$2,G$8:G$9)+5,G$1))</f>
        <v>1</v>
      </c>
      <c r="H340" cm="1">
        <f t="array" aca="1" ref="H340" ca="1">INDIRECT(ADDRESS(myRAND(1,H$2,H$8:H$9)+5,H$1))</f>
        <v>0</v>
      </c>
      <c r="I340" cm="1">
        <f t="array" aca="1" ref="I340" ca="1">INDIRECT(ADDRESS(myRAND(1,I$2,I$8:I$9)+5,I$1))</f>
        <v>1</v>
      </c>
      <c r="J340">
        <f t="shared" ca="1" si="55"/>
        <v>15</v>
      </c>
      <c r="K340">
        <f t="shared" ca="1" si="55"/>
        <v>217</v>
      </c>
      <c r="L340" s="3">
        <f t="shared" ca="1" si="57"/>
        <v>1</v>
      </c>
      <c r="M340" s="13">
        <f t="shared" ca="1" si="58"/>
        <v>7.3781646602465265E-2</v>
      </c>
      <c r="N340">
        <f t="shared" ca="1" si="59"/>
        <v>-2.5300000000000002</v>
      </c>
      <c r="O340">
        <f t="shared" ca="1" si="60"/>
        <v>0</v>
      </c>
      <c r="P340">
        <f t="shared" ca="1" si="61"/>
        <v>0</v>
      </c>
      <c r="Q340">
        <f t="shared" ca="1" si="62"/>
        <v>1</v>
      </c>
      <c r="R340">
        <f t="shared" ca="1" si="63"/>
        <v>0</v>
      </c>
      <c r="S340">
        <f t="shared" ca="1" si="64"/>
        <v>2</v>
      </c>
      <c r="T340" s="17">
        <f t="shared" ca="1" si="65"/>
        <v>4.8171428571428567</v>
      </c>
    </row>
    <row r="341" spans="2:20" x14ac:dyDescent="0.3">
      <c r="B341">
        <f t="shared" ca="1" si="56"/>
        <v>59</v>
      </c>
      <c r="C341" cm="1">
        <f t="array" aca="1" ref="C341" ca="1">INDIRECT(ADDRESS(myRAND(1,C$2,C$8:C$9)+5,C$1))</f>
        <v>0</v>
      </c>
      <c r="D341" cm="1">
        <f t="array" aca="1" ref="D341" ca="1">INDIRECT(ADDRESS(myRAND(1,D$2,D$8:D$9)+5,D$1))</f>
        <v>0</v>
      </c>
      <c r="E341" cm="1">
        <f t="array" aca="1" ref="E341" ca="1">INDIRECT(ADDRESS(myRAND(1,E$2,E$8:E$9)+5,E$1))</f>
        <v>1</v>
      </c>
      <c r="F341" cm="1">
        <f t="array" aca="1" ref="F341" ca="1">INDIRECT(ADDRESS(myRAND(1,F$2,F$8:F$9)+5,F$1))</f>
        <v>0</v>
      </c>
      <c r="G341" cm="1">
        <f t="array" aca="1" ref="G341" ca="1">INDIRECT(ADDRESS(myRAND(1,G$2,G$8:G$9)+5,G$1))</f>
        <v>0</v>
      </c>
      <c r="H341" cm="1">
        <f t="array" aca="1" ref="H341" ca="1">INDIRECT(ADDRESS(myRAND(1,H$2,H$8:H$9)+5,H$1))</f>
        <v>0</v>
      </c>
      <c r="I341" cm="1">
        <f t="array" aca="1" ref="I341" ca="1">INDIRECT(ADDRESS(myRAND(1,I$2,I$8:I$9)+5,I$1))</f>
        <v>1</v>
      </c>
      <c r="J341">
        <f t="shared" ca="1" si="55"/>
        <v>11</v>
      </c>
      <c r="K341">
        <f t="shared" ca="1" si="55"/>
        <v>204</v>
      </c>
      <c r="L341" s="3">
        <f t="shared" ca="1" si="57"/>
        <v>1</v>
      </c>
      <c r="M341" s="13">
        <f t="shared" ca="1" si="58"/>
        <v>0.11815697780926952</v>
      </c>
      <c r="N341">
        <f t="shared" ca="1" si="59"/>
        <v>-2.0100000000000002</v>
      </c>
      <c r="O341">
        <f t="shared" ca="1" si="60"/>
        <v>0</v>
      </c>
      <c r="P341">
        <f t="shared" ca="1" si="61"/>
        <v>0</v>
      </c>
      <c r="Q341">
        <f t="shared" ca="1" si="62"/>
        <v>1</v>
      </c>
      <c r="R341">
        <f t="shared" ca="1" si="63"/>
        <v>0</v>
      </c>
      <c r="S341">
        <f t="shared" ca="1" si="64"/>
        <v>1</v>
      </c>
      <c r="T341" s="17">
        <f t="shared" ca="1" si="65"/>
        <v>4.6185714285714283</v>
      </c>
    </row>
    <row r="342" spans="2:20" x14ac:dyDescent="0.3">
      <c r="B342">
        <f t="shared" ca="1" si="56"/>
        <v>61</v>
      </c>
      <c r="C342" cm="1">
        <f t="array" aca="1" ref="C342" ca="1">INDIRECT(ADDRESS(myRAND(1,C$2,C$8:C$9)+5,C$1))</f>
        <v>0</v>
      </c>
      <c r="D342" cm="1">
        <f t="array" aca="1" ref="D342" ca="1">INDIRECT(ADDRESS(myRAND(1,D$2,D$8:D$9)+5,D$1))</f>
        <v>0</v>
      </c>
      <c r="E342" cm="1">
        <f t="array" aca="1" ref="E342" ca="1">INDIRECT(ADDRESS(myRAND(1,E$2,E$8:E$9)+5,E$1))</f>
        <v>1</v>
      </c>
      <c r="F342" cm="1">
        <f t="array" aca="1" ref="F342" ca="1">INDIRECT(ADDRESS(myRAND(1,F$2,F$8:F$9)+5,F$1))</f>
        <v>1</v>
      </c>
      <c r="G342" cm="1">
        <f t="array" aca="1" ref="G342" ca="1">INDIRECT(ADDRESS(myRAND(1,G$2,G$8:G$9)+5,G$1))</f>
        <v>0</v>
      </c>
      <c r="H342" cm="1">
        <f t="array" aca="1" ref="H342" ca="1">INDIRECT(ADDRESS(myRAND(1,H$2,H$8:H$9)+5,H$1))</f>
        <v>0</v>
      </c>
      <c r="I342" cm="1">
        <f t="array" aca="1" ref="I342" ca="1">INDIRECT(ADDRESS(myRAND(1,I$2,I$8:I$9)+5,I$1))</f>
        <v>1</v>
      </c>
      <c r="J342">
        <f t="shared" ca="1" si="55"/>
        <v>14</v>
      </c>
      <c r="K342">
        <f t="shared" ca="1" si="55"/>
        <v>214</v>
      </c>
      <c r="L342" s="3">
        <f t="shared" ca="1" si="57"/>
        <v>3</v>
      </c>
      <c r="M342" s="13">
        <f t="shared" ca="1" si="58"/>
        <v>0.49250056244937951</v>
      </c>
      <c r="N342">
        <f t="shared" ca="1" si="59"/>
        <v>-3.0000000000000249E-2</v>
      </c>
      <c r="O342">
        <f t="shared" ca="1" si="60"/>
        <v>0</v>
      </c>
      <c r="P342">
        <f t="shared" ca="1" si="61"/>
        <v>1</v>
      </c>
      <c r="Q342">
        <f t="shared" ca="1" si="62"/>
        <v>0</v>
      </c>
      <c r="R342">
        <f t="shared" ca="1" si="63"/>
        <v>0</v>
      </c>
      <c r="S342">
        <f t="shared" ca="1" si="64"/>
        <v>1</v>
      </c>
      <c r="T342" s="17">
        <f t="shared" ca="1" si="65"/>
        <v>4.8861904761904764</v>
      </c>
    </row>
    <row r="343" spans="2:20" x14ac:dyDescent="0.3">
      <c r="B343">
        <f t="shared" ca="1" si="56"/>
        <v>43</v>
      </c>
      <c r="C343" cm="1">
        <f t="array" aca="1" ref="C343" ca="1">INDIRECT(ADDRESS(myRAND(1,C$2,C$8:C$9)+5,C$1))</f>
        <v>1</v>
      </c>
      <c r="D343" cm="1">
        <f t="array" aca="1" ref="D343" ca="1">INDIRECT(ADDRESS(myRAND(1,D$2,D$8:D$9)+5,D$1))</f>
        <v>0</v>
      </c>
      <c r="E343" cm="1">
        <f t="array" aca="1" ref="E343" ca="1">INDIRECT(ADDRESS(myRAND(1,E$2,E$8:E$9)+5,E$1))</f>
        <v>0</v>
      </c>
      <c r="F343" cm="1">
        <f t="array" aca="1" ref="F343" ca="1">INDIRECT(ADDRESS(myRAND(1,F$2,F$8:F$9)+5,F$1))</f>
        <v>1</v>
      </c>
      <c r="G343" cm="1">
        <f t="array" aca="1" ref="G343" ca="1">INDIRECT(ADDRESS(myRAND(1,G$2,G$8:G$9)+5,G$1))</f>
        <v>0</v>
      </c>
      <c r="H343" cm="1">
        <f t="array" aca="1" ref="H343" ca="1">INDIRECT(ADDRESS(myRAND(1,H$2,H$8:H$9)+5,H$1))</f>
        <v>1</v>
      </c>
      <c r="I343" cm="1">
        <f t="array" aca="1" ref="I343" ca="1">INDIRECT(ADDRESS(myRAND(1,I$2,I$8:I$9)+5,I$1))</f>
        <v>0</v>
      </c>
      <c r="J343">
        <f t="shared" ca="1" si="55"/>
        <v>13</v>
      </c>
      <c r="K343">
        <f t="shared" ca="1" si="55"/>
        <v>221</v>
      </c>
      <c r="L343" s="3">
        <f t="shared" ca="1" si="57"/>
        <v>2</v>
      </c>
      <c r="M343" s="13">
        <f t="shared" ca="1" si="58"/>
        <v>0.21248684412253913</v>
      </c>
      <c r="N343">
        <f t="shared" ca="1" si="59"/>
        <v>-1.3100000000000003</v>
      </c>
      <c r="O343">
        <f t="shared" ca="1" si="60"/>
        <v>0</v>
      </c>
      <c r="P343">
        <f t="shared" ca="1" si="61"/>
        <v>0</v>
      </c>
      <c r="Q343">
        <f t="shared" ca="1" si="62"/>
        <v>1</v>
      </c>
      <c r="R343">
        <f t="shared" ca="1" si="63"/>
        <v>0</v>
      </c>
      <c r="S343">
        <f t="shared" ca="1" si="64"/>
        <v>1</v>
      </c>
      <c r="T343" s="17">
        <f t="shared" ca="1" si="65"/>
        <v>2.6728571428571426</v>
      </c>
    </row>
    <row r="344" spans="2:20" x14ac:dyDescent="0.3">
      <c r="B344">
        <f t="shared" ca="1" si="56"/>
        <v>60</v>
      </c>
      <c r="C344" cm="1">
        <f t="array" aca="1" ref="C344" ca="1">INDIRECT(ADDRESS(myRAND(1,C$2,C$8:C$9)+5,C$1))</f>
        <v>0</v>
      </c>
      <c r="D344" cm="1">
        <f t="array" aca="1" ref="D344" ca="1">INDIRECT(ADDRESS(myRAND(1,D$2,D$8:D$9)+5,D$1))</f>
        <v>1</v>
      </c>
      <c r="E344" cm="1">
        <f t="array" aca="1" ref="E344" ca="1">INDIRECT(ADDRESS(myRAND(1,E$2,E$8:E$9)+5,E$1))</f>
        <v>0</v>
      </c>
      <c r="F344" cm="1">
        <f t="array" aca="1" ref="F344" ca="1">INDIRECT(ADDRESS(myRAND(1,F$2,F$8:F$9)+5,F$1))</f>
        <v>0</v>
      </c>
      <c r="G344" cm="1">
        <f t="array" aca="1" ref="G344" ca="1">INDIRECT(ADDRESS(myRAND(1,G$2,G$8:G$9)+5,G$1))</f>
        <v>0</v>
      </c>
      <c r="H344" cm="1">
        <f t="array" aca="1" ref="H344" ca="1">INDIRECT(ADDRESS(myRAND(1,H$2,H$8:H$9)+5,H$1))</f>
        <v>0</v>
      </c>
      <c r="I344" cm="1">
        <f t="array" aca="1" ref="I344" ca="1">INDIRECT(ADDRESS(myRAND(1,I$2,I$8:I$9)+5,I$1))</f>
        <v>1</v>
      </c>
      <c r="J344">
        <f t="shared" ca="1" si="55"/>
        <v>15</v>
      </c>
      <c r="K344">
        <f t="shared" ca="1" si="55"/>
        <v>213</v>
      </c>
      <c r="L344" s="3">
        <f t="shared" ca="1" si="57"/>
        <v>1</v>
      </c>
      <c r="M344" s="13">
        <f t="shared" ca="1" si="58"/>
        <v>0.12238888682304884</v>
      </c>
      <c r="N344">
        <f t="shared" ca="1" si="59"/>
        <v>-1.9700000000000002</v>
      </c>
      <c r="O344">
        <f t="shared" ca="1" si="60"/>
        <v>0</v>
      </c>
      <c r="P344">
        <f t="shared" ca="1" si="61"/>
        <v>0</v>
      </c>
      <c r="Q344">
        <f t="shared" ca="1" si="62"/>
        <v>1</v>
      </c>
      <c r="R344">
        <f t="shared" ca="1" si="63"/>
        <v>0</v>
      </c>
      <c r="S344">
        <f t="shared" ca="1" si="64"/>
        <v>1</v>
      </c>
      <c r="T344" s="17">
        <f t="shared" ca="1" si="65"/>
        <v>4.9380952380952383</v>
      </c>
    </row>
    <row r="345" spans="2:20" x14ac:dyDescent="0.3">
      <c r="B345">
        <f t="shared" ca="1" si="56"/>
        <v>33</v>
      </c>
      <c r="C345" cm="1">
        <f t="array" aca="1" ref="C345" ca="1">INDIRECT(ADDRESS(myRAND(1,C$2,C$8:C$9)+5,C$1))</f>
        <v>0</v>
      </c>
      <c r="D345" cm="1">
        <f t="array" aca="1" ref="D345" ca="1">INDIRECT(ADDRESS(myRAND(1,D$2,D$8:D$9)+5,D$1))</f>
        <v>1</v>
      </c>
      <c r="E345" cm="1">
        <f t="array" aca="1" ref="E345" ca="1">INDIRECT(ADDRESS(myRAND(1,E$2,E$8:E$9)+5,E$1))</f>
        <v>0</v>
      </c>
      <c r="F345" cm="1">
        <f t="array" aca="1" ref="F345" ca="1">INDIRECT(ADDRESS(myRAND(1,F$2,F$8:F$9)+5,F$1))</f>
        <v>1</v>
      </c>
      <c r="G345" cm="1">
        <f t="array" aca="1" ref="G345" ca="1">INDIRECT(ADDRESS(myRAND(1,G$2,G$8:G$9)+5,G$1))</f>
        <v>0</v>
      </c>
      <c r="H345" cm="1">
        <f t="array" aca="1" ref="H345" ca="1">INDIRECT(ADDRESS(myRAND(1,H$2,H$8:H$9)+5,H$1))</f>
        <v>0</v>
      </c>
      <c r="I345" cm="1">
        <f t="array" aca="1" ref="I345" ca="1">INDIRECT(ADDRESS(myRAND(1,I$2,I$8:I$9)+5,I$1))</f>
        <v>1</v>
      </c>
      <c r="J345">
        <f t="shared" ca="1" si="55"/>
        <v>13</v>
      </c>
      <c r="K345">
        <f t="shared" ca="1" si="55"/>
        <v>186</v>
      </c>
      <c r="L345" s="3">
        <f t="shared" ca="1" si="57"/>
        <v>3</v>
      </c>
      <c r="M345" s="13">
        <f t="shared" ca="1" si="58"/>
        <v>0.24048908305088898</v>
      </c>
      <c r="N345">
        <f t="shared" ca="1" si="59"/>
        <v>-1.1499999999999999</v>
      </c>
      <c r="O345">
        <f t="shared" ca="1" si="60"/>
        <v>0</v>
      </c>
      <c r="P345">
        <f t="shared" ca="1" si="61"/>
        <v>1</v>
      </c>
      <c r="Q345">
        <f t="shared" ca="1" si="62"/>
        <v>0</v>
      </c>
      <c r="R345">
        <f t="shared" ca="1" si="63"/>
        <v>0</v>
      </c>
      <c r="S345">
        <f t="shared" ca="1" si="64"/>
        <v>1</v>
      </c>
      <c r="T345" s="17">
        <f t="shared" ca="1" si="65"/>
        <v>4.406190476190476</v>
      </c>
    </row>
    <row r="346" spans="2:20" x14ac:dyDescent="0.3">
      <c r="B346">
        <f t="shared" ca="1" si="56"/>
        <v>30</v>
      </c>
      <c r="C346" cm="1">
        <f t="array" aca="1" ref="C346" ca="1">INDIRECT(ADDRESS(myRAND(1,C$2,C$8:C$9)+5,C$1))</f>
        <v>0</v>
      </c>
      <c r="D346" cm="1">
        <f t="array" aca="1" ref="D346" ca="1">INDIRECT(ADDRESS(myRAND(1,D$2,D$8:D$9)+5,D$1))</f>
        <v>0</v>
      </c>
      <c r="E346" cm="1">
        <f t="array" aca="1" ref="E346" ca="1">INDIRECT(ADDRESS(myRAND(1,E$2,E$8:E$9)+5,E$1))</f>
        <v>0</v>
      </c>
      <c r="F346" cm="1">
        <f t="array" aca="1" ref="F346" ca="1">INDIRECT(ADDRESS(myRAND(1,F$2,F$8:F$9)+5,F$1))</f>
        <v>1</v>
      </c>
      <c r="G346" cm="1">
        <f t="array" aca="1" ref="G346" ca="1">INDIRECT(ADDRESS(myRAND(1,G$2,G$8:G$9)+5,G$1))</f>
        <v>0</v>
      </c>
      <c r="H346" cm="1">
        <f t="array" aca="1" ref="H346" ca="1">INDIRECT(ADDRESS(myRAND(1,H$2,H$8:H$9)+5,H$1))</f>
        <v>0</v>
      </c>
      <c r="I346" cm="1">
        <f t="array" aca="1" ref="I346" ca="1">INDIRECT(ADDRESS(myRAND(1,I$2,I$8:I$9)+5,I$1))</f>
        <v>1</v>
      </c>
      <c r="J346">
        <f t="shared" ca="1" si="55"/>
        <v>15</v>
      </c>
      <c r="K346">
        <f t="shared" ca="1" si="55"/>
        <v>224</v>
      </c>
      <c r="L346" s="3">
        <f t="shared" ca="1" si="57"/>
        <v>1</v>
      </c>
      <c r="M346" s="13">
        <f t="shared" ca="1" si="58"/>
        <v>4.0310415422709224E-2</v>
      </c>
      <c r="N346">
        <f t="shared" ca="1" si="59"/>
        <v>-3.17</v>
      </c>
      <c r="O346">
        <f t="shared" ca="1" si="60"/>
        <v>0</v>
      </c>
      <c r="P346">
        <f t="shared" ca="1" si="61"/>
        <v>0</v>
      </c>
      <c r="Q346">
        <f t="shared" ca="1" si="62"/>
        <v>1</v>
      </c>
      <c r="R346">
        <f t="shared" ca="1" si="63"/>
        <v>0</v>
      </c>
      <c r="S346">
        <f t="shared" ca="1" si="64"/>
        <v>1</v>
      </c>
      <c r="T346" s="17">
        <f t="shared" ca="1" si="65"/>
        <v>4.6904761904761907</v>
      </c>
    </row>
    <row r="347" spans="2:20" x14ac:dyDescent="0.3">
      <c r="B347">
        <f t="shared" ca="1" si="56"/>
        <v>43</v>
      </c>
      <c r="C347" cm="1">
        <f t="array" aca="1" ref="C347" ca="1">INDIRECT(ADDRESS(myRAND(1,C$2,C$8:C$9)+5,C$1))</f>
        <v>0</v>
      </c>
      <c r="D347" cm="1">
        <f t="array" aca="1" ref="D347" ca="1">INDIRECT(ADDRESS(myRAND(1,D$2,D$8:D$9)+5,D$1))</f>
        <v>1</v>
      </c>
      <c r="E347" cm="1">
        <f t="array" aca="1" ref="E347" ca="1">INDIRECT(ADDRESS(myRAND(1,E$2,E$8:E$9)+5,E$1))</f>
        <v>1</v>
      </c>
      <c r="F347" cm="1">
        <f t="array" aca="1" ref="F347" ca="1">INDIRECT(ADDRESS(myRAND(1,F$2,F$8:F$9)+5,F$1))</f>
        <v>1</v>
      </c>
      <c r="G347" cm="1">
        <f t="array" aca="1" ref="G347" ca="1">INDIRECT(ADDRESS(myRAND(1,G$2,G$8:G$9)+5,G$1))</f>
        <v>1</v>
      </c>
      <c r="H347" cm="1">
        <f t="array" aca="1" ref="H347" ca="1">INDIRECT(ADDRESS(myRAND(1,H$2,H$8:H$9)+5,H$1))</f>
        <v>0</v>
      </c>
      <c r="I347" cm="1">
        <f t="array" aca="1" ref="I347" ca="1">INDIRECT(ADDRESS(myRAND(1,I$2,I$8:I$9)+5,I$1))</f>
        <v>1</v>
      </c>
      <c r="J347">
        <f t="shared" ca="1" si="55"/>
        <v>16</v>
      </c>
      <c r="K347">
        <f t="shared" ca="1" si="55"/>
        <v>185</v>
      </c>
      <c r="L347" s="3">
        <f t="shared" ca="1" si="57"/>
        <v>1</v>
      </c>
      <c r="M347" s="13">
        <f t="shared" ca="1" si="58"/>
        <v>0.11815697780926952</v>
      </c>
      <c r="N347">
        <f t="shared" ca="1" si="59"/>
        <v>-2.0100000000000002</v>
      </c>
      <c r="O347">
        <f t="shared" ca="1" si="60"/>
        <v>1</v>
      </c>
      <c r="P347">
        <f t="shared" ca="1" si="61"/>
        <v>0</v>
      </c>
      <c r="Q347">
        <f t="shared" ca="1" si="62"/>
        <v>0</v>
      </c>
      <c r="R347">
        <f t="shared" ca="1" si="63"/>
        <v>0</v>
      </c>
      <c r="S347">
        <f t="shared" ca="1" si="64"/>
        <v>2</v>
      </c>
      <c r="T347" s="17">
        <f t="shared" ca="1" si="65"/>
        <v>4.701428571428572</v>
      </c>
    </row>
    <row r="348" spans="2:20" x14ac:dyDescent="0.3">
      <c r="B348">
        <f t="shared" ca="1" si="56"/>
        <v>61</v>
      </c>
      <c r="C348" cm="1">
        <f t="array" aca="1" ref="C348" ca="1">INDIRECT(ADDRESS(myRAND(1,C$2,C$8:C$9)+5,C$1))</f>
        <v>0</v>
      </c>
      <c r="D348" cm="1">
        <f t="array" aca="1" ref="D348" ca="1">INDIRECT(ADDRESS(myRAND(1,D$2,D$8:D$9)+5,D$1))</f>
        <v>1</v>
      </c>
      <c r="E348" cm="1">
        <f t="array" aca="1" ref="E348" ca="1">INDIRECT(ADDRESS(myRAND(1,E$2,E$8:E$9)+5,E$1))</f>
        <v>0</v>
      </c>
      <c r="F348" cm="1">
        <f t="array" aca="1" ref="F348" ca="1">INDIRECT(ADDRESS(myRAND(1,F$2,F$8:F$9)+5,F$1))</f>
        <v>0</v>
      </c>
      <c r="G348" cm="1">
        <f t="array" aca="1" ref="G348" ca="1">INDIRECT(ADDRESS(myRAND(1,G$2,G$8:G$9)+5,G$1))</f>
        <v>1</v>
      </c>
      <c r="H348" cm="1">
        <f t="array" aca="1" ref="H348" ca="1">INDIRECT(ADDRESS(myRAND(1,H$2,H$8:H$9)+5,H$1))</f>
        <v>0</v>
      </c>
      <c r="I348" cm="1">
        <f t="array" aca="1" ref="I348" ca="1">INDIRECT(ADDRESS(myRAND(1,I$2,I$8:I$9)+5,I$1))</f>
        <v>0</v>
      </c>
      <c r="J348">
        <f t="shared" ca="1" si="55"/>
        <v>14</v>
      </c>
      <c r="K348">
        <f t="shared" ca="1" si="55"/>
        <v>196</v>
      </c>
      <c r="L348" s="3">
        <f t="shared" ca="1" si="57"/>
        <v>1</v>
      </c>
      <c r="M348" s="13">
        <f t="shared" ca="1" si="58"/>
        <v>0.12675058012214077</v>
      </c>
      <c r="N348">
        <f t="shared" ca="1" si="59"/>
        <v>-1.9300000000000002</v>
      </c>
      <c r="O348">
        <f t="shared" ca="1" si="60"/>
        <v>0</v>
      </c>
      <c r="P348">
        <f t="shared" ca="1" si="61"/>
        <v>0</v>
      </c>
      <c r="Q348">
        <f t="shared" ca="1" si="62"/>
        <v>1</v>
      </c>
      <c r="R348">
        <f t="shared" ca="1" si="63"/>
        <v>0</v>
      </c>
      <c r="S348">
        <f t="shared" ca="1" si="64"/>
        <v>1</v>
      </c>
      <c r="T348" s="17">
        <f t="shared" ca="1" si="65"/>
        <v>1.8004761904761906</v>
      </c>
    </row>
    <row r="349" spans="2:20" x14ac:dyDescent="0.3">
      <c r="B349">
        <f t="shared" ca="1" si="56"/>
        <v>45</v>
      </c>
      <c r="C349" cm="1">
        <f t="array" aca="1" ref="C349" ca="1">INDIRECT(ADDRESS(myRAND(1,C$2,C$8:C$9)+5,C$1))</f>
        <v>1</v>
      </c>
      <c r="D349" cm="1">
        <f t="array" aca="1" ref="D349" ca="1">INDIRECT(ADDRESS(myRAND(1,D$2,D$8:D$9)+5,D$1))</f>
        <v>1</v>
      </c>
      <c r="E349" cm="1">
        <f t="array" aca="1" ref="E349" ca="1">INDIRECT(ADDRESS(myRAND(1,E$2,E$8:E$9)+5,E$1))</f>
        <v>0</v>
      </c>
      <c r="F349" cm="1">
        <f t="array" aca="1" ref="F349" ca="1">INDIRECT(ADDRESS(myRAND(1,F$2,F$8:F$9)+5,F$1))</f>
        <v>0</v>
      </c>
      <c r="G349" cm="1">
        <f t="array" aca="1" ref="G349" ca="1">INDIRECT(ADDRESS(myRAND(1,G$2,G$8:G$9)+5,G$1))</f>
        <v>0</v>
      </c>
      <c r="H349" cm="1">
        <f t="array" aca="1" ref="H349" ca="1">INDIRECT(ADDRESS(myRAND(1,H$2,H$8:H$9)+5,H$1))</f>
        <v>0</v>
      </c>
      <c r="I349" cm="1">
        <f t="array" aca="1" ref="I349" ca="1">INDIRECT(ADDRESS(myRAND(1,I$2,I$8:I$9)+5,I$1))</f>
        <v>0</v>
      </c>
      <c r="J349">
        <f t="shared" ca="1" si="55"/>
        <v>9</v>
      </c>
      <c r="K349">
        <f t="shared" ca="1" si="55"/>
        <v>218</v>
      </c>
      <c r="L349" s="3">
        <f t="shared" ca="1" si="57"/>
        <v>2</v>
      </c>
      <c r="M349" s="13">
        <f t="shared" ca="1" si="58"/>
        <v>0.22618142573054617</v>
      </c>
      <c r="N349">
        <f t="shared" ca="1" si="59"/>
        <v>-1.2300000000000002</v>
      </c>
      <c r="O349">
        <f t="shared" ca="1" si="60"/>
        <v>0</v>
      </c>
      <c r="P349">
        <f t="shared" ca="1" si="61"/>
        <v>0</v>
      </c>
      <c r="Q349">
        <f t="shared" ca="1" si="62"/>
        <v>1</v>
      </c>
      <c r="R349">
        <f t="shared" ca="1" si="63"/>
        <v>0</v>
      </c>
      <c r="S349">
        <f t="shared" ca="1" si="64"/>
        <v>0</v>
      </c>
      <c r="T349" s="17">
        <f t="shared" ca="1" si="65"/>
        <v>2.4119047619047618</v>
      </c>
    </row>
    <row r="350" spans="2:20" x14ac:dyDescent="0.3">
      <c r="B350">
        <f t="shared" ca="1" si="56"/>
        <v>58</v>
      </c>
      <c r="C350" cm="1">
        <f t="array" aca="1" ref="C350" ca="1">INDIRECT(ADDRESS(myRAND(1,C$2,C$8:C$9)+5,C$1))</f>
        <v>0</v>
      </c>
      <c r="D350" cm="1">
        <f t="array" aca="1" ref="D350" ca="1">INDIRECT(ADDRESS(myRAND(1,D$2,D$8:D$9)+5,D$1))</f>
        <v>0</v>
      </c>
      <c r="E350" cm="1">
        <f t="array" aca="1" ref="E350" ca="1">INDIRECT(ADDRESS(myRAND(1,E$2,E$8:E$9)+5,E$1))</f>
        <v>0</v>
      </c>
      <c r="F350" cm="1">
        <f t="array" aca="1" ref="F350" ca="1">INDIRECT(ADDRESS(myRAND(1,F$2,F$8:F$9)+5,F$1))</f>
        <v>0</v>
      </c>
      <c r="G350" cm="1">
        <f t="array" aca="1" ref="G350" ca="1">INDIRECT(ADDRESS(myRAND(1,G$2,G$8:G$9)+5,G$1))</f>
        <v>0</v>
      </c>
      <c r="H350" cm="1">
        <f t="array" aca="1" ref="H350" ca="1">INDIRECT(ADDRESS(myRAND(1,H$2,H$8:H$9)+5,H$1))</f>
        <v>1</v>
      </c>
      <c r="I350" cm="1">
        <f t="array" aca="1" ref="I350" ca="1">INDIRECT(ADDRESS(myRAND(1,I$2,I$8:I$9)+5,I$1))</f>
        <v>1</v>
      </c>
      <c r="J350">
        <f t="shared" ca="1" si="55"/>
        <v>12</v>
      </c>
      <c r="K350">
        <f t="shared" ca="1" si="55"/>
        <v>185</v>
      </c>
      <c r="L350" s="3">
        <f t="shared" ca="1" si="57"/>
        <v>3</v>
      </c>
      <c r="M350" s="13">
        <f t="shared" ca="1" si="58"/>
        <v>0.11405238127979084</v>
      </c>
      <c r="N350">
        <f t="shared" ca="1" si="59"/>
        <v>-2.0500000000000003</v>
      </c>
      <c r="O350">
        <f t="shared" ca="1" si="60"/>
        <v>0</v>
      </c>
      <c r="P350">
        <f t="shared" ca="1" si="61"/>
        <v>0</v>
      </c>
      <c r="Q350">
        <f t="shared" ca="1" si="62"/>
        <v>0</v>
      </c>
      <c r="R350">
        <f t="shared" ca="1" si="63"/>
        <v>1</v>
      </c>
      <c r="S350">
        <f t="shared" ca="1" si="64"/>
        <v>2</v>
      </c>
      <c r="T350" s="17">
        <f t="shared" ca="1" si="65"/>
        <v>4.5847619047619048</v>
      </c>
    </row>
    <row r="351" spans="2:20" x14ac:dyDescent="0.3">
      <c r="B351">
        <f t="shared" ca="1" si="56"/>
        <v>53</v>
      </c>
      <c r="C351" cm="1">
        <f t="array" aca="1" ref="C351" ca="1">INDIRECT(ADDRESS(myRAND(1,C$2,C$8:C$9)+5,C$1))</f>
        <v>1</v>
      </c>
      <c r="D351" cm="1">
        <f t="array" aca="1" ref="D351" ca="1">INDIRECT(ADDRESS(myRAND(1,D$2,D$8:D$9)+5,D$1))</f>
        <v>1</v>
      </c>
      <c r="E351" cm="1">
        <f t="array" aca="1" ref="E351" ca="1">INDIRECT(ADDRESS(myRAND(1,E$2,E$8:E$9)+5,E$1))</f>
        <v>0</v>
      </c>
      <c r="F351" cm="1">
        <f t="array" aca="1" ref="F351" ca="1">INDIRECT(ADDRESS(myRAND(1,F$2,F$8:F$9)+5,F$1))</f>
        <v>1</v>
      </c>
      <c r="G351" cm="1">
        <f t="array" aca="1" ref="G351" ca="1">INDIRECT(ADDRESS(myRAND(1,G$2,G$8:G$9)+5,G$1))</f>
        <v>1</v>
      </c>
      <c r="H351" cm="1">
        <f t="array" aca="1" ref="H351" ca="1">INDIRECT(ADDRESS(myRAND(1,H$2,H$8:H$9)+5,H$1))</f>
        <v>0</v>
      </c>
      <c r="I351" cm="1">
        <f t="array" aca="1" ref="I351" ca="1">INDIRECT(ADDRESS(myRAND(1,I$2,I$8:I$9)+5,I$1))</f>
        <v>0</v>
      </c>
      <c r="J351">
        <f t="shared" ca="1" si="55"/>
        <v>15</v>
      </c>
      <c r="K351">
        <f t="shared" ca="1" si="55"/>
        <v>199</v>
      </c>
      <c r="L351" s="3">
        <f t="shared" ca="1" si="57"/>
        <v>3</v>
      </c>
      <c r="M351" s="13">
        <f t="shared" ca="1" si="58"/>
        <v>0.72908792234930653</v>
      </c>
      <c r="N351">
        <f t="shared" ca="1" si="59"/>
        <v>0.99</v>
      </c>
      <c r="O351">
        <f t="shared" ca="1" si="60"/>
        <v>0</v>
      </c>
      <c r="P351">
        <f t="shared" ca="1" si="61"/>
        <v>1</v>
      </c>
      <c r="Q351">
        <f t="shared" ca="1" si="62"/>
        <v>0</v>
      </c>
      <c r="R351">
        <f t="shared" ca="1" si="63"/>
        <v>0</v>
      </c>
      <c r="S351">
        <f t="shared" ca="1" si="64"/>
        <v>1</v>
      </c>
      <c r="T351" s="17">
        <f t="shared" ca="1" si="65"/>
        <v>2.8014285714285716</v>
      </c>
    </row>
    <row r="352" spans="2:20" x14ac:dyDescent="0.3">
      <c r="B352">
        <f t="shared" ca="1" si="56"/>
        <v>41</v>
      </c>
      <c r="C352" cm="1">
        <f t="array" aca="1" ref="C352" ca="1">INDIRECT(ADDRESS(myRAND(1,C$2,C$8:C$9)+5,C$1))</f>
        <v>1</v>
      </c>
      <c r="D352" cm="1">
        <f t="array" aca="1" ref="D352" ca="1">INDIRECT(ADDRESS(myRAND(1,D$2,D$8:D$9)+5,D$1))</f>
        <v>1</v>
      </c>
      <c r="E352" cm="1">
        <f t="array" aca="1" ref="E352" ca="1">INDIRECT(ADDRESS(myRAND(1,E$2,E$8:E$9)+5,E$1))</f>
        <v>1</v>
      </c>
      <c r="F352" cm="1">
        <f t="array" aca="1" ref="F352" ca="1">INDIRECT(ADDRESS(myRAND(1,F$2,F$8:F$9)+5,F$1))</f>
        <v>0</v>
      </c>
      <c r="G352" cm="1">
        <f t="array" aca="1" ref="G352" ca="1">INDIRECT(ADDRESS(myRAND(1,G$2,G$8:G$9)+5,G$1))</f>
        <v>0</v>
      </c>
      <c r="H352" cm="1">
        <f t="array" aca="1" ref="H352" ca="1">INDIRECT(ADDRESS(myRAND(1,H$2,H$8:H$9)+5,H$1))</f>
        <v>0</v>
      </c>
      <c r="I352" cm="1">
        <f t="array" aca="1" ref="I352" ca="1">INDIRECT(ADDRESS(myRAND(1,I$2,I$8:I$9)+5,I$1))</f>
        <v>0</v>
      </c>
      <c r="J352">
        <f t="shared" ca="1" si="55"/>
        <v>19</v>
      </c>
      <c r="K352">
        <f t="shared" ca="1" si="55"/>
        <v>196</v>
      </c>
      <c r="L352" s="3">
        <f t="shared" ca="1" si="57"/>
        <v>3</v>
      </c>
      <c r="M352" s="13">
        <f t="shared" ca="1" si="58"/>
        <v>0.6248064744684293</v>
      </c>
      <c r="N352">
        <f t="shared" ca="1" si="59"/>
        <v>0.51</v>
      </c>
      <c r="O352">
        <f t="shared" ca="1" si="60"/>
        <v>0</v>
      </c>
      <c r="P352">
        <f t="shared" ca="1" si="61"/>
        <v>1</v>
      </c>
      <c r="Q352">
        <f t="shared" ca="1" si="62"/>
        <v>0</v>
      </c>
      <c r="R352">
        <f t="shared" ca="1" si="63"/>
        <v>0</v>
      </c>
      <c r="S352">
        <f t="shared" ca="1" si="64"/>
        <v>0</v>
      </c>
      <c r="T352" s="17">
        <f t="shared" ca="1" si="65"/>
        <v>2.9338095238095239</v>
      </c>
    </row>
    <row r="353" spans="2:20" x14ac:dyDescent="0.3">
      <c r="B353">
        <f t="shared" ca="1" si="56"/>
        <v>27</v>
      </c>
      <c r="C353" cm="1">
        <f t="array" aca="1" ref="C353" ca="1">INDIRECT(ADDRESS(myRAND(1,C$2,C$8:C$9)+5,C$1))</f>
        <v>1</v>
      </c>
      <c r="D353" cm="1">
        <f t="array" aca="1" ref="D353" ca="1">INDIRECT(ADDRESS(myRAND(1,D$2,D$8:D$9)+5,D$1))</f>
        <v>0</v>
      </c>
      <c r="E353" cm="1">
        <f t="array" aca="1" ref="E353" ca="1">INDIRECT(ADDRESS(myRAND(1,E$2,E$8:E$9)+5,E$1))</f>
        <v>0</v>
      </c>
      <c r="F353" cm="1">
        <f t="array" aca="1" ref="F353" ca="1">INDIRECT(ADDRESS(myRAND(1,F$2,F$8:F$9)+5,F$1))</f>
        <v>0</v>
      </c>
      <c r="G353" cm="1">
        <f t="array" aca="1" ref="G353" ca="1">INDIRECT(ADDRESS(myRAND(1,G$2,G$8:G$9)+5,G$1))</f>
        <v>0</v>
      </c>
      <c r="H353" cm="1">
        <f t="array" aca="1" ref="H353" ca="1">INDIRECT(ADDRESS(myRAND(1,H$2,H$8:H$9)+5,H$1))</f>
        <v>0</v>
      </c>
      <c r="I353" cm="1">
        <f t="array" aca="1" ref="I353" ca="1">INDIRECT(ADDRESS(myRAND(1,I$2,I$8:I$9)+5,I$1))</f>
        <v>0</v>
      </c>
      <c r="J353">
        <f t="shared" ca="1" si="55"/>
        <v>14</v>
      </c>
      <c r="K353">
        <f t="shared" ca="1" si="55"/>
        <v>205</v>
      </c>
      <c r="L353" s="3">
        <f t="shared" ca="1" si="57"/>
        <v>1</v>
      </c>
      <c r="M353" s="13">
        <f t="shared" ca="1" si="58"/>
        <v>0.12455335818741645</v>
      </c>
      <c r="N353">
        <f t="shared" ca="1" si="59"/>
        <v>-1.95</v>
      </c>
      <c r="O353">
        <f t="shared" ca="1" si="60"/>
        <v>0</v>
      </c>
      <c r="P353">
        <f t="shared" ca="1" si="61"/>
        <v>0</v>
      </c>
      <c r="Q353">
        <f t="shared" ca="1" si="62"/>
        <v>0</v>
      </c>
      <c r="R353">
        <f t="shared" ca="1" si="63"/>
        <v>1</v>
      </c>
      <c r="S353">
        <f t="shared" ca="1" si="64"/>
        <v>0</v>
      </c>
      <c r="T353" s="17">
        <f t="shared" ca="1" si="65"/>
        <v>2.5033333333333334</v>
      </c>
    </row>
    <row r="354" spans="2:20" x14ac:dyDescent="0.3">
      <c r="B354">
        <f t="shared" ca="1" si="56"/>
        <v>32</v>
      </c>
      <c r="C354" cm="1">
        <f t="array" aca="1" ref="C354" ca="1">INDIRECT(ADDRESS(myRAND(1,C$2,C$8:C$9)+5,C$1))</f>
        <v>1</v>
      </c>
      <c r="D354" cm="1">
        <f t="array" aca="1" ref="D354" ca="1">INDIRECT(ADDRESS(myRAND(1,D$2,D$8:D$9)+5,D$1))</f>
        <v>1</v>
      </c>
      <c r="E354" cm="1">
        <f t="array" aca="1" ref="E354" ca="1">INDIRECT(ADDRESS(myRAND(1,E$2,E$8:E$9)+5,E$1))</f>
        <v>0</v>
      </c>
      <c r="F354" cm="1">
        <f t="array" aca="1" ref="F354" ca="1">INDIRECT(ADDRESS(myRAND(1,F$2,F$8:F$9)+5,F$1))</f>
        <v>1</v>
      </c>
      <c r="G354" cm="1">
        <f t="array" aca="1" ref="G354" ca="1">INDIRECT(ADDRESS(myRAND(1,G$2,G$8:G$9)+5,G$1))</f>
        <v>0</v>
      </c>
      <c r="H354" cm="1">
        <f t="array" aca="1" ref="H354" ca="1">INDIRECT(ADDRESS(myRAND(1,H$2,H$8:H$9)+5,H$1))</f>
        <v>0</v>
      </c>
      <c r="I354" cm="1">
        <f t="array" aca="1" ref="I354" ca="1">INDIRECT(ADDRESS(myRAND(1,I$2,I$8:I$9)+5,I$1))</f>
        <v>1</v>
      </c>
      <c r="J354">
        <f t="shared" ca="1" si="55"/>
        <v>18</v>
      </c>
      <c r="K354">
        <f t="shared" ca="1" si="55"/>
        <v>158</v>
      </c>
      <c r="L354" s="3">
        <f t="shared" ca="1" si="57"/>
        <v>3</v>
      </c>
      <c r="M354" s="13">
        <f t="shared" ca="1" si="58"/>
        <v>0.5374298453437496</v>
      </c>
      <c r="N354">
        <f t="shared" ca="1" si="59"/>
        <v>0.15000000000000013</v>
      </c>
      <c r="O354">
        <f t="shared" ca="1" si="60"/>
        <v>0</v>
      </c>
      <c r="P354">
        <f t="shared" ca="1" si="61"/>
        <v>1</v>
      </c>
      <c r="Q354">
        <f t="shared" ca="1" si="62"/>
        <v>0</v>
      </c>
      <c r="R354">
        <f t="shared" ca="1" si="63"/>
        <v>0</v>
      </c>
      <c r="S354">
        <f t="shared" ca="1" si="64"/>
        <v>1</v>
      </c>
      <c r="T354" s="17">
        <f t="shared" ca="1" si="65"/>
        <v>5.5961904761904764</v>
      </c>
    </row>
    <row r="355" spans="2:20" x14ac:dyDescent="0.3">
      <c r="B355">
        <f t="shared" ca="1" si="56"/>
        <v>52</v>
      </c>
      <c r="C355" cm="1">
        <f t="array" aca="1" ref="C355" ca="1">INDIRECT(ADDRESS(myRAND(1,C$2,C$8:C$9)+5,C$1))</f>
        <v>0</v>
      </c>
      <c r="D355" cm="1">
        <f t="array" aca="1" ref="D355" ca="1">INDIRECT(ADDRESS(myRAND(1,D$2,D$8:D$9)+5,D$1))</f>
        <v>0</v>
      </c>
      <c r="E355" cm="1">
        <f t="array" aca="1" ref="E355" ca="1">INDIRECT(ADDRESS(myRAND(1,E$2,E$8:E$9)+5,E$1))</f>
        <v>1</v>
      </c>
      <c r="F355" cm="1">
        <f t="array" aca="1" ref="F355" ca="1">INDIRECT(ADDRESS(myRAND(1,F$2,F$8:F$9)+5,F$1))</f>
        <v>1</v>
      </c>
      <c r="G355" cm="1">
        <f t="array" aca="1" ref="G355" ca="1">INDIRECT(ADDRESS(myRAND(1,G$2,G$8:G$9)+5,G$1))</f>
        <v>1</v>
      </c>
      <c r="H355" cm="1">
        <f t="array" aca="1" ref="H355" ca="1">INDIRECT(ADDRESS(myRAND(1,H$2,H$8:H$9)+5,H$1))</f>
        <v>0</v>
      </c>
      <c r="I355" cm="1">
        <f t="array" aca="1" ref="I355" ca="1">INDIRECT(ADDRESS(myRAND(1,I$2,I$8:I$9)+5,I$1))</f>
        <v>1</v>
      </c>
      <c r="J355">
        <f t="shared" ca="1" si="55"/>
        <v>16</v>
      </c>
      <c r="K355">
        <f t="shared" ca="1" si="55"/>
        <v>215</v>
      </c>
      <c r="L355" s="3">
        <f t="shared" ca="1" si="57"/>
        <v>2</v>
      </c>
      <c r="M355" s="13">
        <f t="shared" ca="1" si="58"/>
        <v>0.40371730070321216</v>
      </c>
      <c r="N355">
        <f t="shared" ca="1" si="59"/>
        <v>-0.39000000000000012</v>
      </c>
      <c r="O355">
        <f t="shared" ca="1" si="60"/>
        <v>0</v>
      </c>
      <c r="P355">
        <f t="shared" ca="1" si="61"/>
        <v>1</v>
      </c>
      <c r="Q355">
        <f t="shared" ca="1" si="62"/>
        <v>0</v>
      </c>
      <c r="R355">
        <f t="shared" ca="1" si="63"/>
        <v>0</v>
      </c>
      <c r="S355">
        <f t="shared" ca="1" si="64"/>
        <v>2</v>
      </c>
      <c r="T355" s="17">
        <f t="shared" ca="1" si="65"/>
        <v>4.9342857142857142</v>
      </c>
    </row>
    <row r="356" spans="2:20" x14ac:dyDescent="0.3">
      <c r="B356">
        <f t="shared" ca="1" si="56"/>
        <v>46</v>
      </c>
      <c r="C356" cm="1">
        <f t="array" aca="1" ref="C356" ca="1">INDIRECT(ADDRESS(myRAND(1,C$2,C$8:C$9)+5,C$1))</f>
        <v>0</v>
      </c>
      <c r="D356" cm="1">
        <f t="array" aca="1" ref="D356" ca="1">INDIRECT(ADDRESS(myRAND(1,D$2,D$8:D$9)+5,D$1))</f>
        <v>0</v>
      </c>
      <c r="E356" cm="1">
        <f t="array" aca="1" ref="E356" ca="1">INDIRECT(ADDRESS(myRAND(1,E$2,E$8:E$9)+5,E$1))</f>
        <v>0</v>
      </c>
      <c r="F356" cm="1">
        <f t="array" aca="1" ref="F356" ca="1">INDIRECT(ADDRESS(myRAND(1,F$2,F$8:F$9)+5,F$1))</f>
        <v>1</v>
      </c>
      <c r="G356" cm="1">
        <f t="array" aca="1" ref="G356" ca="1">INDIRECT(ADDRESS(myRAND(1,G$2,G$8:G$9)+5,G$1))</f>
        <v>0</v>
      </c>
      <c r="H356" cm="1">
        <f t="array" aca="1" ref="H356" ca="1">INDIRECT(ADDRESS(myRAND(1,H$2,H$8:H$9)+5,H$1))</f>
        <v>0</v>
      </c>
      <c r="I356" cm="1">
        <f t="array" aca="1" ref="I356" ca="1">INDIRECT(ADDRESS(myRAND(1,I$2,I$8:I$9)+5,I$1))</f>
        <v>0</v>
      </c>
      <c r="J356">
        <f t="shared" ca="1" si="55"/>
        <v>16</v>
      </c>
      <c r="K356">
        <f t="shared" ca="1" si="55"/>
        <v>237</v>
      </c>
      <c r="L356" s="3">
        <f t="shared" ca="1" si="57"/>
        <v>1</v>
      </c>
      <c r="M356" s="13">
        <f t="shared" ca="1" si="58"/>
        <v>7.3781646602465265E-2</v>
      </c>
      <c r="N356">
        <f t="shared" ca="1" si="59"/>
        <v>-2.5300000000000002</v>
      </c>
      <c r="O356">
        <f t="shared" ca="1" si="60"/>
        <v>0</v>
      </c>
      <c r="P356">
        <f t="shared" ca="1" si="61"/>
        <v>0</v>
      </c>
      <c r="Q356">
        <f t="shared" ca="1" si="62"/>
        <v>1</v>
      </c>
      <c r="R356">
        <f t="shared" ca="1" si="63"/>
        <v>0</v>
      </c>
      <c r="S356">
        <f t="shared" ca="1" si="64"/>
        <v>0</v>
      </c>
      <c r="T356" s="17">
        <f t="shared" ca="1" si="65"/>
        <v>1.9790476190476189</v>
      </c>
    </row>
    <row r="357" spans="2:20" x14ac:dyDescent="0.3">
      <c r="B357">
        <f t="shared" ca="1" si="56"/>
        <v>59</v>
      </c>
      <c r="C357" cm="1">
        <f t="array" aca="1" ref="C357" ca="1">INDIRECT(ADDRESS(myRAND(1,C$2,C$8:C$9)+5,C$1))</f>
        <v>0</v>
      </c>
      <c r="D357" cm="1">
        <f t="array" aca="1" ref="D357" ca="1">INDIRECT(ADDRESS(myRAND(1,D$2,D$8:D$9)+5,D$1))</f>
        <v>0</v>
      </c>
      <c r="E357" cm="1">
        <f t="array" aca="1" ref="E357" ca="1">INDIRECT(ADDRESS(myRAND(1,E$2,E$8:E$9)+5,E$1))</f>
        <v>1</v>
      </c>
      <c r="F357" cm="1">
        <f t="array" aca="1" ref="F357" ca="1">INDIRECT(ADDRESS(myRAND(1,F$2,F$8:F$9)+5,F$1))</f>
        <v>0</v>
      </c>
      <c r="G357" cm="1">
        <f t="array" aca="1" ref="G357" ca="1">INDIRECT(ADDRESS(myRAND(1,G$2,G$8:G$9)+5,G$1))</f>
        <v>0</v>
      </c>
      <c r="H357" cm="1">
        <f t="array" aca="1" ref="H357" ca="1">INDIRECT(ADDRESS(myRAND(1,H$2,H$8:H$9)+5,H$1))</f>
        <v>1</v>
      </c>
      <c r="I357" cm="1">
        <f t="array" aca="1" ref="I357" ca="1">INDIRECT(ADDRESS(myRAND(1,I$2,I$8:I$9)+5,I$1))</f>
        <v>0</v>
      </c>
      <c r="J357">
        <f t="shared" ca="1" si="55"/>
        <v>16</v>
      </c>
      <c r="K357">
        <f t="shared" ca="1" si="55"/>
        <v>225</v>
      </c>
      <c r="L357" s="3">
        <f t="shared" ca="1" si="57"/>
        <v>1</v>
      </c>
      <c r="M357" s="13">
        <f t="shared" ca="1" si="58"/>
        <v>0.11815697780926952</v>
      </c>
      <c r="N357">
        <f t="shared" ca="1" si="59"/>
        <v>-2.0100000000000002</v>
      </c>
      <c r="O357">
        <f t="shared" ca="1" si="60"/>
        <v>0</v>
      </c>
      <c r="P357">
        <f t="shared" ca="1" si="61"/>
        <v>0</v>
      </c>
      <c r="Q357">
        <f t="shared" ca="1" si="62"/>
        <v>1</v>
      </c>
      <c r="R357">
        <f t="shared" ca="1" si="63"/>
        <v>0</v>
      </c>
      <c r="S357">
        <f t="shared" ca="1" si="64"/>
        <v>1</v>
      </c>
      <c r="T357" s="17">
        <f t="shared" ca="1" si="65"/>
        <v>2.0519047619047619</v>
      </c>
    </row>
    <row r="358" spans="2:20" x14ac:dyDescent="0.3">
      <c r="B358">
        <f t="shared" ca="1" si="56"/>
        <v>51</v>
      </c>
      <c r="C358" cm="1">
        <f t="array" aca="1" ref="C358" ca="1">INDIRECT(ADDRESS(myRAND(1,C$2,C$8:C$9)+5,C$1))</f>
        <v>0</v>
      </c>
      <c r="D358" cm="1">
        <f t="array" aca="1" ref="D358" ca="1">INDIRECT(ADDRESS(myRAND(1,D$2,D$8:D$9)+5,D$1))</f>
        <v>1</v>
      </c>
      <c r="E358" cm="1">
        <f t="array" aca="1" ref="E358" ca="1">INDIRECT(ADDRESS(myRAND(1,E$2,E$8:E$9)+5,E$1))</f>
        <v>0</v>
      </c>
      <c r="F358" cm="1">
        <f t="array" aca="1" ref="F358" ca="1">INDIRECT(ADDRESS(myRAND(1,F$2,F$8:F$9)+5,F$1))</f>
        <v>1</v>
      </c>
      <c r="G358" cm="1">
        <f t="array" aca="1" ref="G358" ca="1">INDIRECT(ADDRESS(myRAND(1,G$2,G$8:G$9)+5,G$1))</f>
        <v>0</v>
      </c>
      <c r="H358" cm="1">
        <f t="array" aca="1" ref="H358" ca="1">INDIRECT(ADDRESS(myRAND(1,H$2,H$8:H$9)+5,H$1))</f>
        <v>0</v>
      </c>
      <c r="I358" cm="1">
        <f t="array" aca="1" ref="I358" ca="1">INDIRECT(ADDRESS(myRAND(1,I$2,I$8:I$9)+5,I$1))</f>
        <v>0</v>
      </c>
      <c r="J358">
        <f t="shared" ca="1" si="55"/>
        <v>21</v>
      </c>
      <c r="K358">
        <f t="shared" ca="1" si="55"/>
        <v>204</v>
      </c>
      <c r="L358" s="3">
        <f t="shared" ca="1" si="57"/>
        <v>2</v>
      </c>
      <c r="M358" s="13">
        <f t="shared" ca="1" si="58"/>
        <v>0.3941263315682394</v>
      </c>
      <c r="N358">
        <f t="shared" ca="1" si="59"/>
        <v>-0.43000000000000016</v>
      </c>
      <c r="O358">
        <f t="shared" ca="1" si="60"/>
        <v>0</v>
      </c>
      <c r="P358">
        <f t="shared" ca="1" si="61"/>
        <v>1</v>
      </c>
      <c r="Q358">
        <f t="shared" ca="1" si="62"/>
        <v>0</v>
      </c>
      <c r="R358">
        <f t="shared" ca="1" si="63"/>
        <v>0</v>
      </c>
      <c r="S358">
        <f t="shared" ca="1" si="64"/>
        <v>0</v>
      </c>
      <c r="T358" s="17">
        <f t="shared" ca="1" si="65"/>
        <v>2.2052380952380952</v>
      </c>
    </row>
    <row r="359" spans="2:20" x14ac:dyDescent="0.3">
      <c r="B359">
        <f t="shared" ca="1" si="56"/>
        <v>37</v>
      </c>
      <c r="C359" cm="1">
        <f t="array" aca="1" ref="C359" ca="1">INDIRECT(ADDRESS(myRAND(1,C$2,C$8:C$9)+5,C$1))</f>
        <v>1</v>
      </c>
      <c r="D359" cm="1">
        <f t="array" aca="1" ref="D359" ca="1">INDIRECT(ADDRESS(myRAND(1,D$2,D$8:D$9)+5,D$1))</f>
        <v>0</v>
      </c>
      <c r="E359" cm="1">
        <f t="array" aca="1" ref="E359" ca="1">INDIRECT(ADDRESS(myRAND(1,E$2,E$8:E$9)+5,E$1))</f>
        <v>0</v>
      </c>
      <c r="F359" cm="1">
        <f t="array" aca="1" ref="F359" ca="1">INDIRECT(ADDRESS(myRAND(1,F$2,F$8:F$9)+5,F$1))</f>
        <v>0</v>
      </c>
      <c r="G359" cm="1">
        <f t="array" aca="1" ref="G359" ca="1">INDIRECT(ADDRESS(myRAND(1,G$2,G$8:G$9)+5,G$1))</f>
        <v>0</v>
      </c>
      <c r="H359" cm="1">
        <f t="array" aca="1" ref="H359" ca="1">INDIRECT(ADDRESS(myRAND(1,H$2,H$8:H$9)+5,H$1))</f>
        <v>0</v>
      </c>
      <c r="I359" cm="1">
        <f t="array" aca="1" ref="I359" ca="1">INDIRECT(ADDRESS(myRAND(1,I$2,I$8:I$9)+5,I$1))</f>
        <v>1</v>
      </c>
      <c r="J359">
        <f t="shared" ca="1" si="55"/>
        <v>15</v>
      </c>
      <c r="K359">
        <f t="shared" ca="1" si="55"/>
        <v>240</v>
      </c>
      <c r="L359" s="3">
        <f t="shared" ca="1" si="57"/>
        <v>3</v>
      </c>
      <c r="M359" s="13">
        <f t="shared" ca="1" si="58"/>
        <v>0.1750862681640398</v>
      </c>
      <c r="N359">
        <f t="shared" ca="1" si="59"/>
        <v>-1.55</v>
      </c>
      <c r="O359">
        <f t="shared" ca="1" si="60"/>
        <v>0</v>
      </c>
      <c r="P359">
        <f t="shared" ca="1" si="61"/>
        <v>0</v>
      </c>
      <c r="Q359">
        <f t="shared" ca="1" si="62"/>
        <v>0</v>
      </c>
      <c r="R359">
        <f t="shared" ca="1" si="63"/>
        <v>1</v>
      </c>
      <c r="S359">
        <f t="shared" ca="1" si="64"/>
        <v>1</v>
      </c>
      <c r="T359" s="17">
        <f t="shared" ca="1" si="65"/>
        <v>5.836666666666666</v>
      </c>
    </row>
    <row r="360" spans="2:20" x14ac:dyDescent="0.3">
      <c r="B360">
        <f t="shared" ca="1" si="56"/>
        <v>63</v>
      </c>
      <c r="C360" cm="1">
        <f t="array" aca="1" ref="C360" ca="1">INDIRECT(ADDRESS(myRAND(1,C$2,C$8:C$9)+5,C$1))</f>
        <v>1</v>
      </c>
      <c r="D360" cm="1">
        <f t="array" aca="1" ref="D360" ca="1">INDIRECT(ADDRESS(myRAND(1,D$2,D$8:D$9)+5,D$1))</f>
        <v>1</v>
      </c>
      <c r="E360" cm="1">
        <f t="array" aca="1" ref="E360" ca="1">INDIRECT(ADDRESS(myRAND(1,E$2,E$8:E$9)+5,E$1))</f>
        <v>0</v>
      </c>
      <c r="F360" cm="1">
        <f t="array" aca="1" ref="F360" ca="1">INDIRECT(ADDRESS(myRAND(1,F$2,F$8:F$9)+5,F$1))</f>
        <v>0</v>
      </c>
      <c r="G360" cm="1">
        <f t="array" aca="1" ref="G360" ca="1">INDIRECT(ADDRESS(myRAND(1,G$2,G$8:G$9)+5,G$1))</f>
        <v>1</v>
      </c>
      <c r="H360" cm="1">
        <f t="array" aca="1" ref="H360" ca="1">INDIRECT(ADDRESS(myRAND(1,H$2,H$8:H$9)+5,H$1))</f>
        <v>0</v>
      </c>
      <c r="I360" cm="1">
        <f t="array" aca="1" ref="I360" ca="1">INDIRECT(ADDRESS(myRAND(1,I$2,I$8:I$9)+5,I$1))</f>
        <v>1</v>
      </c>
      <c r="J360">
        <f t="shared" ca="1" si="55"/>
        <v>5</v>
      </c>
      <c r="K360">
        <f t="shared" ca="1" si="55"/>
        <v>250</v>
      </c>
      <c r="L360" s="3">
        <f t="shared" ca="1" si="57"/>
        <v>3</v>
      </c>
      <c r="M360" s="13">
        <f t="shared" ca="1" si="58"/>
        <v>0.3751935255315707</v>
      </c>
      <c r="N360">
        <f t="shared" ca="1" si="59"/>
        <v>-0.51</v>
      </c>
      <c r="O360">
        <f t="shared" ca="1" si="60"/>
        <v>0</v>
      </c>
      <c r="P360">
        <f t="shared" ca="1" si="61"/>
        <v>0</v>
      </c>
      <c r="Q360">
        <f t="shared" ca="1" si="62"/>
        <v>1</v>
      </c>
      <c r="R360">
        <f t="shared" ca="1" si="63"/>
        <v>0</v>
      </c>
      <c r="S360">
        <f t="shared" ca="1" si="64"/>
        <v>2</v>
      </c>
      <c r="T360" s="17">
        <f t="shared" ca="1" si="65"/>
        <v>5.4776190476190472</v>
      </c>
    </row>
    <row r="361" spans="2:20" x14ac:dyDescent="0.3">
      <c r="B361">
        <f t="shared" ca="1" si="56"/>
        <v>61</v>
      </c>
      <c r="C361" cm="1">
        <f t="array" aca="1" ref="C361" ca="1">INDIRECT(ADDRESS(myRAND(1,C$2,C$8:C$9)+5,C$1))</f>
        <v>0</v>
      </c>
      <c r="D361" cm="1">
        <f t="array" aca="1" ref="D361" ca="1">INDIRECT(ADDRESS(myRAND(1,D$2,D$8:D$9)+5,D$1))</f>
        <v>1</v>
      </c>
      <c r="E361" cm="1">
        <f t="array" aca="1" ref="E361" ca="1">INDIRECT(ADDRESS(myRAND(1,E$2,E$8:E$9)+5,E$1))</f>
        <v>1</v>
      </c>
      <c r="F361" cm="1">
        <f t="array" aca="1" ref="F361" ca="1">INDIRECT(ADDRESS(myRAND(1,F$2,F$8:F$9)+5,F$1))</f>
        <v>1</v>
      </c>
      <c r="G361" cm="1">
        <f t="array" aca="1" ref="G361" ca="1">INDIRECT(ADDRESS(myRAND(1,G$2,G$8:G$9)+5,G$1))</f>
        <v>0</v>
      </c>
      <c r="H361" cm="1">
        <f t="array" aca="1" ref="H361" ca="1">INDIRECT(ADDRESS(myRAND(1,H$2,H$8:H$9)+5,H$1))</f>
        <v>1</v>
      </c>
      <c r="I361" cm="1">
        <f t="array" aca="1" ref="I361" ca="1">INDIRECT(ADDRESS(myRAND(1,I$2,I$8:I$9)+5,I$1))</f>
        <v>1</v>
      </c>
      <c r="J361">
        <f t="shared" ca="1" si="55"/>
        <v>17</v>
      </c>
      <c r="K361">
        <f t="shared" ca="1" si="55"/>
        <v>205</v>
      </c>
      <c r="L361" s="3">
        <f t="shared" ca="1" si="57"/>
        <v>3</v>
      </c>
      <c r="M361" s="13">
        <f t="shared" ca="1" si="58"/>
        <v>0.21585281082251456</v>
      </c>
      <c r="N361">
        <f t="shared" ca="1" si="59"/>
        <v>-1.29</v>
      </c>
      <c r="O361">
        <f t="shared" ca="1" si="60"/>
        <v>1</v>
      </c>
      <c r="P361">
        <f t="shared" ca="1" si="61"/>
        <v>0</v>
      </c>
      <c r="Q361">
        <f t="shared" ca="1" si="62"/>
        <v>0</v>
      </c>
      <c r="R361">
        <f t="shared" ca="1" si="63"/>
        <v>0</v>
      </c>
      <c r="S361">
        <f t="shared" ca="1" si="64"/>
        <v>2</v>
      </c>
      <c r="T361" s="17">
        <f t="shared" ca="1" si="65"/>
        <v>5.043333333333333</v>
      </c>
    </row>
    <row r="362" spans="2:20" x14ac:dyDescent="0.3">
      <c r="B362">
        <f t="shared" ca="1" si="56"/>
        <v>64</v>
      </c>
      <c r="C362" cm="1">
        <f t="array" aca="1" ref="C362" ca="1">INDIRECT(ADDRESS(myRAND(1,C$2,C$8:C$9)+5,C$1))</f>
        <v>0</v>
      </c>
      <c r="D362" cm="1">
        <f t="array" aca="1" ref="D362" ca="1">INDIRECT(ADDRESS(myRAND(1,D$2,D$8:D$9)+5,D$1))</f>
        <v>1</v>
      </c>
      <c r="E362" cm="1">
        <f t="array" aca="1" ref="E362" ca="1">INDIRECT(ADDRESS(myRAND(1,E$2,E$8:E$9)+5,E$1))</f>
        <v>1</v>
      </c>
      <c r="F362" cm="1">
        <f t="array" aca="1" ref="F362" ca="1">INDIRECT(ADDRESS(myRAND(1,F$2,F$8:F$9)+5,F$1))</f>
        <v>0</v>
      </c>
      <c r="G362" cm="1">
        <f t="array" aca="1" ref="G362" ca="1">INDIRECT(ADDRESS(myRAND(1,G$2,G$8:G$9)+5,G$1))</f>
        <v>0</v>
      </c>
      <c r="H362" cm="1">
        <f t="array" aca="1" ref="H362" ca="1">INDIRECT(ADDRESS(myRAND(1,H$2,H$8:H$9)+5,H$1))</f>
        <v>0</v>
      </c>
      <c r="I362" cm="1">
        <f t="array" aca="1" ref="I362" ca="1">INDIRECT(ADDRESS(myRAND(1,I$2,I$8:I$9)+5,I$1))</f>
        <v>1</v>
      </c>
      <c r="J362">
        <f t="shared" ca="1" si="55"/>
        <v>19</v>
      </c>
      <c r="K362">
        <f t="shared" ca="1" si="55"/>
        <v>218</v>
      </c>
      <c r="L362" s="3">
        <f t="shared" ca="1" si="57"/>
        <v>3</v>
      </c>
      <c r="M362" s="13">
        <f t="shared" ca="1" si="58"/>
        <v>0.52248482479180003</v>
      </c>
      <c r="N362">
        <f t="shared" ca="1" si="59"/>
        <v>8.9999999999999858E-2</v>
      </c>
      <c r="O362">
        <f t="shared" ca="1" si="60"/>
        <v>0</v>
      </c>
      <c r="P362">
        <f t="shared" ca="1" si="61"/>
        <v>1</v>
      </c>
      <c r="Q362">
        <f t="shared" ca="1" si="62"/>
        <v>0</v>
      </c>
      <c r="R362">
        <f t="shared" ca="1" si="63"/>
        <v>0</v>
      </c>
      <c r="S362">
        <f t="shared" ca="1" si="64"/>
        <v>1</v>
      </c>
      <c r="T362" s="17">
        <f t="shared" ca="1" si="65"/>
        <v>5.2685714285714287</v>
      </c>
    </row>
    <row r="363" spans="2:20" x14ac:dyDescent="0.3">
      <c r="B363">
        <f t="shared" ca="1" si="56"/>
        <v>44</v>
      </c>
      <c r="C363" cm="1">
        <f t="array" aca="1" ref="C363" ca="1">INDIRECT(ADDRESS(myRAND(1,C$2,C$8:C$9)+5,C$1))</f>
        <v>0</v>
      </c>
      <c r="D363" cm="1">
        <f t="array" aca="1" ref="D363" ca="1">INDIRECT(ADDRESS(myRAND(1,D$2,D$8:D$9)+5,D$1))</f>
        <v>0</v>
      </c>
      <c r="E363" cm="1">
        <f t="array" aca="1" ref="E363" ca="1">INDIRECT(ADDRESS(myRAND(1,E$2,E$8:E$9)+5,E$1))</f>
        <v>1</v>
      </c>
      <c r="F363" cm="1">
        <f t="array" aca="1" ref="F363" ca="1">INDIRECT(ADDRESS(myRAND(1,F$2,F$8:F$9)+5,F$1))</f>
        <v>1</v>
      </c>
      <c r="G363" cm="1">
        <f t="array" aca="1" ref="G363" ca="1">INDIRECT(ADDRESS(myRAND(1,G$2,G$8:G$9)+5,G$1))</f>
        <v>1</v>
      </c>
      <c r="H363" cm="1">
        <f t="array" aca="1" ref="H363" ca="1">INDIRECT(ADDRESS(myRAND(1,H$2,H$8:H$9)+5,H$1))</f>
        <v>0</v>
      </c>
      <c r="I363" cm="1">
        <f t="array" aca="1" ref="I363" ca="1">INDIRECT(ADDRESS(myRAND(1,I$2,I$8:I$9)+5,I$1))</f>
        <v>1</v>
      </c>
      <c r="J363">
        <f t="shared" ca="1" si="55"/>
        <v>13</v>
      </c>
      <c r="K363">
        <f t="shared" ca="1" si="55"/>
        <v>180</v>
      </c>
      <c r="L363" s="3">
        <f t="shared" ca="1" si="57"/>
        <v>3</v>
      </c>
      <c r="M363" s="13">
        <f t="shared" ca="1" si="58"/>
        <v>0.32959884019113134</v>
      </c>
      <c r="N363">
        <f t="shared" ca="1" si="59"/>
        <v>-0.71000000000000041</v>
      </c>
      <c r="O363">
        <f t="shared" ca="1" si="60"/>
        <v>0</v>
      </c>
      <c r="P363">
        <f t="shared" ca="1" si="61"/>
        <v>1</v>
      </c>
      <c r="Q363">
        <f t="shared" ca="1" si="62"/>
        <v>0</v>
      </c>
      <c r="R363">
        <f t="shared" ca="1" si="63"/>
        <v>0</v>
      </c>
      <c r="S363">
        <f t="shared" ca="1" si="64"/>
        <v>2</v>
      </c>
      <c r="T363" s="17">
        <f t="shared" ca="1" si="65"/>
        <v>4.4876190476190478</v>
      </c>
    </row>
    <row r="364" spans="2:20" x14ac:dyDescent="0.3">
      <c r="B364">
        <f t="shared" ca="1" si="56"/>
        <v>49</v>
      </c>
      <c r="C364" cm="1">
        <f t="array" aca="1" ref="C364" ca="1">INDIRECT(ADDRESS(myRAND(1,C$2,C$8:C$9)+5,C$1))</f>
        <v>1</v>
      </c>
      <c r="D364" cm="1">
        <f t="array" aca="1" ref="D364" ca="1">INDIRECT(ADDRESS(myRAND(1,D$2,D$8:D$9)+5,D$1))</f>
        <v>1</v>
      </c>
      <c r="E364" cm="1">
        <f t="array" aca="1" ref="E364" ca="1">INDIRECT(ADDRESS(myRAND(1,E$2,E$8:E$9)+5,E$1))</f>
        <v>0</v>
      </c>
      <c r="F364" cm="1">
        <f t="array" aca="1" ref="F364" ca="1">INDIRECT(ADDRESS(myRAND(1,F$2,F$8:F$9)+5,F$1))</f>
        <v>0</v>
      </c>
      <c r="G364" cm="1">
        <f t="array" aca="1" ref="G364" ca="1">INDIRECT(ADDRESS(myRAND(1,G$2,G$8:G$9)+5,G$1))</f>
        <v>1</v>
      </c>
      <c r="H364" cm="1">
        <f t="array" aca="1" ref="H364" ca="1">INDIRECT(ADDRESS(myRAND(1,H$2,H$8:H$9)+5,H$1))</f>
        <v>1</v>
      </c>
      <c r="I364" cm="1">
        <f t="array" aca="1" ref="I364" ca="1">INDIRECT(ADDRESS(myRAND(1,I$2,I$8:I$9)+5,I$1))</f>
        <v>0</v>
      </c>
      <c r="J364">
        <f t="shared" ca="1" si="55"/>
        <v>15</v>
      </c>
      <c r="K364">
        <f t="shared" ca="1" si="55"/>
        <v>191</v>
      </c>
      <c r="L364" s="3">
        <f t="shared" ca="1" si="57"/>
        <v>2</v>
      </c>
      <c r="M364" s="13">
        <f t="shared" ca="1" si="58"/>
        <v>0.25540308417252405</v>
      </c>
      <c r="N364">
        <f t="shared" ca="1" si="59"/>
        <v>-1.07</v>
      </c>
      <c r="O364">
        <f t="shared" ca="1" si="60"/>
        <v>0</v>
      </c>
      <c r="P364">
        <f t="shared" ca="1" si="61"/>
        <v>0</v>
      </c>
      <c r="Q364">
        <f t="shared" ca="1" si="62"/>
        <v>1</v>
      </c>
      <c r="R364">
        <f t="shared" ca="1" si="63"/>
        <v>0</v>
      </c>
      <c r="S364">
        <f t="shared" ca="1" si="64"/>
        <v>2</v>
      </c>
      <c r="T364" s="17">
        <f t="shared" ca="1" si="65"/>
        <v>2.7233333333333336</v>
      </c>
    </row>
    <row r="365" spans="2:20" x14ac:dyDescent="0.3">
      <c r="B365">
        <f t="shared" ca="1" si="56"/>
        <v>51</v>
      </c>
      <c r="C365" cm="1">
        <f t="array" aca="1" ref="C365" ca="1">INDIRECT(ADDRESS(myRAND(1,C$2,C$8:C$9)+5,C$1))</f>
        <v>0</v>
      </c>
      <c r="D365" cm="1">
        <f t="array" aca="1" ref="D365" ca="1">INDIRECT(ADDRESS(myRAND(1,D$2,D$8:D$9)+5,D$1))</f>
        <v>1</v>
      </c>
      <c r="E365" cm="1">
        <f t="array" aca="1" ref="E365" ca="1">INDIRECT(ADDRESS(myRAND(1,E$2,E$8:E$9)+5,E$1))</f>
        <v>1</v>
      </c>
      <c r="F365" cm="1">
        <f t="array" aca="1" ref="F365" ca="1">INDIRECT(ADDRESS(myRAND(1,F$2,F$8:F$9)+5,F$1))</f>
        <v>0</v>
      </c>
      <c r="G365" cm="1">
        <f t="array" aca="1" ref="G365" ca="1">INDIRECT(ADDRESS(myRAND(1,G$2,G$8:G$9)+5,G$1))</f>
        <v>0</v>
      </c>
      <c r="H365" cm="1">
        <f t="array" aca="1" ref="H365" ca="1">INDIRECT(ADDRESS(myRAND(1,H$2,H$8:H$9)+5,H$1))</f>
        <v>0</v>
      </c>
      <c r="I365" cm="1">
        <f t="array" aca="1" ref="I365" ca="1">INDIRECT(ADDRESS(myRAND(1,I$2,I$8:I$9)+5,I$1))</f>
        <v>1</v>
      </c>
      <c r="J365">
        <f t="shared" ca="1" si="55"/>
        <v>14</v>
      </c>
      <c r="K365">
        <f t="shared" ca="1" si="55"/>
        <v>191</v>
      </c>
      <c r="L365" s="3">
        <f t="shared" ca="1" si="57"/>
        <v>3</v>
      </c>
      <c r="M365" s="13">
        <f t="shared" ca="1" si="58"/>
        <v>0.3941263315682394</v>
      </c>
      <c r="N365">
        <f t="shared" ca="1" si="59"/>
        <v>-0.43000000000000016</v>
      </c>
      <c r="O365">
        <f t="shared" ca="1" si="60"/>
        <v>0</v>
      </c>
      <c r="P365">
        <f t="shared" ca="1" si="61"/>
        <v>1</v>
      </c>
      <c r="Q365">
        <f t="shared" ca="1" si="62"/>
        <v>0</v>
      </c>
      <c r="R365">
        <f t="shared" ca="1" si="63"/>
        <v>0</v>
      </c>
      <c r="S365">
        <f t="shared" ca="1" si="64"/>
        <v>1</v>
      </c>
      <c r="T365" s="17">
        <f t="shared" ca="1" si="65"/>
        <v>4.6766666666666667</v>
      </c>
    </row>
    <row r="366" spans="2:20" x14ac:dyDescent="0.3">
      <c r="B366">
        <f t="shared" ca="1" si="56"/>
        <v>52</v>
      </c>
      <c r="C366" cm="1">
        <f t="array" aca="1" ref="C366" ca="1">INDIRECT(ADDRESS(myRAND(1,C$2,C$8:C$9)+5,C$1))</f>
        <v>0</v>
      </c>
      <c r="D366" cm="1">
        <f t="array" aca="1" ref="D366" ca="1">INDIRECT(ADDRESS(myRAND(1,D$2,D$8:D$9)+5,D$1))</f>
        <v>0</v>
      </c>
      <c r="E366" cm="1">
        <f t="array" aca="1" ref="E366" ca="1">INDIRECT(ADDRESS(myRAND(1,E$2,E$8:E$9)+5,E$1))</f>
        <v>0</v>
      </c>
      <c r="F366" cm="1">
        <f t="array" aca="1" ref="F366" ca="1">INDIRECT(ADDRESS(myRAND(1,F$2,F$8:F$9)+5,F$1))</f>
        <v>1</v>
      </c>
      <c r="G366" cm="1">
        <f t="array" aca="1" ref="G366" ca="1">INDIRECT(ADDRESS(myRAND(1,G$2,G$8:G$9)+5,G$1))</f>
        <v>0</v>
      </c>
      <c r="H366" cm="1">
        <f t="array" aca="1" ref="H366" ca="1">INDIRECT(ADDRESS(myRAND(1,H$2,H$8:H$9)+5,H$1))</f>
        <v>1</v>
      </c>
      <c r="I366" cm="1">
        <f t="array" aca="1" ref="I366" ca="1">INDIRECT(ADDRESS(myRAND(1,I$2,I$8:I$9)+5,I$1))</f>
        <v>0</v>
      </c>
      <c r="J366">
        <f t="shared" ca="1" si="55"/>
        <v>19</v>
      </c>
      <c r="K366">
        <f t="shared" ca="1" si="55"/>
        <v>234</v>
      </c>
      <c r="L366" s="3">
        <f t="shared" ca="1" si="57"/>
        <v>1</v>
      </c>
      <c r="M366" s="13">
        <f t="shared" ca="1" si="58"/>
        <v>9.195454993100434E-2</v>
      </c>
      <c r="N366">
        <f t="shared" ca="1" si="59"/>
        <v>-2.29</v>
      </c>
      <c r="O366">
        <f t="shared" ca="1" si="60"/>
        <v>0</v>
      </c>
      <c r="P366">
        <f t="shared" ca="1" si="61"/>
        <v>0</v>
      </c>
      <c r="Q366">
        <f t="shared" ca="1" si="62"/>
        <v>1</v>
      </c>
      <c r="R366">
        <f t="shared" ca="1" si="63"/>
        <v>0</v>
      </c>
      <c r="S366">
        <f t="shared" ca="1" si="64"/>
        <v>1</v>
      </c>
      <c r="T366" s="17">
        <f t="shared" ca="1" si="65"/>
        <v>2.2247619047619045</v>
      </c>
    </row>
    <row r="367" spans="2:20" x14ac:dyDescent="0.3">
      <c r="B367">
        <f t="shared" ca="1" si="56"/>
        <v>39</v>
      </c>
      <c r="C367" cm="1">
        <f t="array" aca="1" ref="C367" ca="1">INDIRECT(ADDRESS(myRAND(1,C$2,C$8:C$9)+5,C$1))</f>
        <v>1</v>
      </c>
      <c r="D367" cm="1">
        <f t="array" aca="1" ref="D367" ca="1">INDIRECT(ADDRESS(myRAND(1,D$2,D$8:D$9)+5,D$1))</f>
        <v>1</v>
      </c>
      <c r="E367" cm="1">
        <f t="array" aca="1" ref="E367" ca="1">INDIRECT(ADDRESS(myRAND(1,E$2,E$8:E$9)+5,E$1))</f>
        <v>0</v>
      </c>
      <c r="F367" cm="1">
        <f t="array" aca="1" ref="F367" ca="1">INDIRECT(ADDRESS(myRAND(1,F$2,F$8:F$9)+5,F$1))</f>
        <v>1</v>
      </c>
      <c r="G367" cm="1">
        <f t="array" aca="1" ref="G367" ca="1">INDIRECT(ADDRESS(myRAND(1,G$2,G$8:G$9)+5,G$1))</f>
        <v>0</v>
      </c>
      <c r="H367" cm="1">
        <f t="array" aca="1" ref="H367" ca="1">INDIRECT(ADDRESS(myRAND(1,H$2,H$8:H$9)+5,H$1))</f>
        <v>0</v>
      </c>
      <c r="I367" cm="1">
        <f t="array" aca="1" ref="I367" ca="1">INDIRECT(ADDRESS(myRAND(1,I$2,I$8:I$9)+5,I$1))</f>
        <v>1</v>
      </c>
      <c r="J367">
        <f t="shared" ca="1" si="55"/>
        <v>11</v>
      </c>
      <c r="K367">
        <f t="shared" ca="1" si="55"/>
        <v>221</v>
      </c>
      <c r="L367" s="3">
        <f t="shared" ca="1" si="57"/>
        <v>3</v>
      </c>
      <c r="M367" s="13">
        <f t="shared" ca="1" si="58"/>
        <v>0.60587366843176049</v>
      </c>
      <c r="N367">
        <f t="shared" ca="1" si="59"/>
        <v>0.42999999999999994</v>
      </c>
      <c r="O367">
        <f t="shared" ca="1" si="60"/>
        <v>0</v>
      </c>
      <c r="P367">
        <f t="shared" ca="1" si="61"/>
        <v>1</v>
      </c>
      <c r="Q367">
        <f t="shared" ca="1" si="62"/>
        <v>0</v>
      </c>
      <c r="R367">
        <f t="shared" ca="1" si="63"/>
        <v>0</v>
      </c>
      <c r="S367">
        <f t="shared" ca="1" si="64"/>
        <v>1</v>
      </c>
      <c r="T367" s="17">
        <f t="shared" ca="1" si="65"/>
        <v>5.4995238095238097</v>
      </c>
    </row>
    <row r="368" spans="2:20" x14ac:dyDescent="0.3">
      <c r="B368">
        <f t="shared" ca="1" si="56"/>
        <v>45</v>
      </c>
      <c r="C368" cm="1">
        <f t="array" aca="1" ref="C368" ca="1">INDIRECT(ADDRESS(myRAND(1,C$2,C$8:C$9)+5,C$1))</f>
        <v>1</v>
      </c>
      <c r="D368" cm="1">
        <f t="array" aca="1" ref="D368" ca="1">INDIRECT(ADDRESS(myRAND(1,D$2,D$8:D$9)+5,D$1))</f>
        <v>0</v>
      </c>
      <c r="E368" cm="1">
        <f t="array" aca="1" ref="E368" ca="1">INDIRECT(ADDRESS(myRAND(1,E$2,E$8:E$9)+5,E$1))</f>
        <v>0</v>
      </c>
      <c r="F368" cm="1">
        <f t="array" aca="1" ref="F368" ca="1">INDIRECT(ADDRESS(myRAND(1,F$2,F$8:F$9)+5,F$1))</f>
        <v>1</v>
      </c>
      <c r="G368" cm="1">
        <f t="array" aca="1" ref="G368" ca="1">INDIRECT(ADDRESS(myRAND(1,G$2,G$8:G$9)+5,G$1))</f>
        <v>0</v>
      </c>
      <c r="H368" cm="1">
        <f t="array" aca="1" ref="H368" ca="1">INDIRECT(ADDRESS(myRAND(1,H$2,H$8:H$9)+5,H$1))</f>
        <v>0</v>
      </c>
      <c r="I368" cm="1">
        <f t="array" aca="1" ref="I368" ca="1">INDIRECT(ADDRESS(myRAND(1,I$2,I$8:I$9)+5,I$1))</f>
        <v>0</v>
      </c>
      <c r="J368">
        <f t="shared" ca="1" si="55"/>
        <v>10</v>
      </c>
      <c r="K368">
        <f t="shared" ca="1" si="55"/>
        <v>184</v>
      </c>
      <c r="L368" s="3">
        <f t="shared" ca="1" si="57"/>
        <v>2</v>
      </c>
      <c r="M368" s="13">
        <f t="shared" ca="1" si="58"/>
        <v>0.22618142573054617</v>
      </c>
      <c r="N368">
        <f t="shared" ca="1" si="59"/>
        <v>-1.2300000000000002</v>
      </c>
      <c r="O368">
        <f t="shared" ca="1" si="60"/>
        <v>0</v>
      </c>
      <c r="P368">
        <f t="shared" ca="1" si="61"/>
        <v>0</v>
      </c>
      <c r="Q368">
        <f t="shared" ca="1" si="62"/>
        <v>1</v>
      </c>
      <c r="R368">
        <f t="shared" ca="1" si="63"/>
        <v>0</v>
      </c>
      <c r="S368">
        <f t="shared" ca="1" si="64"/>
        <v>0</v>
      </c>
      <c r="T368" s="17">
        <f t="shared" ca="1" si="65"/>
        <v>2.3166666666666664</v>
      </c>
    </row>
    <row r="369" spans="2:20" x14ac:dyDescent="0.3">
      <c r="B369">
        <f t="shared" ca="1" si="56"/>
        <v>61</v>
      </c>
      <c r="C369" cm="1">
        <f t="array" aca="1" ref="C369" ca="1">INDIRECT(ADDRESS(myRAND(1,C$2,C$8:C$9)+5,C$1))</f>
        <v>1</v>
      </c>
      <c r="D369" cm="1">
        <f t="array" aca="1" ref="D369" ca="1">INDIRECT(ADDRESS(myRAND(1,D$2,D$8:D$9)+5,D$1))</f>
        <v>0</v>
      </c>
      <c r="E369" cm="1">
        <f t="array" aca="1" ref="E369" ca="1">INDIRECT(ADDRESS(myRAND(1,E$2,E$8:E$9)+5,E$1))</f>
        <v>0</v>
      </c>
      <c r="F369" cm="1">
        <f t="array" aca="1" ref="F369" ca="1">INDIRECT(ADDRESS(myRAND(1,F$2,F$8:F$9)+5,F$1))</f>
        <v>0</v>
      </c>
      <c r="G369" cm="1">
        <f t="array" aca="1" ref="G369" ca="1">INDIRECT(ADDRESS(myRAND(1,G$2,G$8:G$9)+5,G$1))</f>
        <v>0</v>
      </c>
      <c r="H369" cm="1">
        <f t="array" aca="1" ref="H369" ca="1">INDIRECT(ADDRESS(myRAND(1,H$2,H$8:H$9)+5,H$1))</f>
        <v>1</v>
      </c>
      <c r="I369" cm="1">
        <f t="array" aca="1" ref="I369" ca="1">INDIRECT(ADDRESS(myRAND(1,I$2,I$8:I$9)+5,I$1))</f>
        <v>1</v>
      </c>
      <c r="J369">
        <f t="shared" ca="1" si="55"/>
        <v>13</v>
      </c>
      <c r="K369">
        <f t="shared" ca="1" si="55"/>
        <v>228</v>
      </c>
      <c r="L369" s="3">
        <f t="shared" ca="1" si="57"/>
        <v>3</v>
      </c>
      <c r="M369" s="13">
        <f t="shared" ca="1" si="58"/>
        <v>0.35663485430559827</v>
      </c>
      <c r="N369">
        <f t="shared" ca="1" si="59"/>
        <v>-0.59000000000000008</v>
      </c>
      <c r="O369">
        <f t="shared" ca="1" si="60"/>
        <v>0</v>
      </c>
      <c r="P369">
        <f t="shared" ca="1" si="61"/>
        <v>0</v>
      </c>
      <c r="Q369">
        <f t="shared" ca="1" si="62"/>
        <v>0</v>
      </c>
      <c r="R369">
        <f t="shared" ca="1" si="63"/>
        <v>1</v>
      </c>
      <c r="S369">
        <f t="shared" ca="1" si="64"/>
        <v>2</v>
      </c>
      <c r="T369" s="17">
        <f t="shared" ca="1" si="65"/>
        <v>5.8861904761904764</v>
      </c>
    </row>
    <row r="370" spans="2:20" x14ac:dyDescent="0.3">
      <c r="B370">
        <f t="shared" ca="1" si="56"/>
        <v>66</v>
      </c>
      <c r="C370" cm="1">
        <f t="array" aca="1" ref="C370" ca="1">INDIRECT(ADDRESS(myRAND(1,C$2,C$8:C$9)+5,C$1))</f>
        <v>1</v>
      </c>
      <c r="D370" cm="1">
        <f t="array" aca="1" ref="D370" ca="1">INDIRECT(ADDRESS(myRAND(1,D$2,D$8:D$9)+5,D$1))</f>
        <v>0</v>
      </c>
      <c r="E370" cm="1">
        <f t="array" aca="1" ref="E370" ca="1">INDIRECT(ADDRESS(myRAND(1,E$2,E$8:E$9)+5,E$1))</f>
        <v>0</v>
      </c>
      <c r="F370" cm="1">
        <f t="array" aca="1" ref="F370" ca="1">INDIRECT(ADDRESS(myRAND(1,F$2,F$8:F$9)+5,F$1))</f>
        <v>1</v>
      </c>
      <c r="G370" cm="1">
        <f t="array" aca="1" ref="G370" ca="1">INDIRECT(ADDRESS(myRAND(1,G$2,G$8:G$9)+5,G$1))</f>
        <v>0</v>
      </c>
      <c r="H370" cm="1">
        <f t="array" aca="1" ref="H370" ca="1">INDIRECT(ADDRESS(myRAND(1,H$2,H$8:H$9)+5,H$1))</f>
        <v>1</v>
      </c>
      <c r="I370" cm="1">
        <f t="array" aca="1" ref="I370" ca="1">INDIRECT(ADDRESS(myRAND(1,I$2,I$8:I$9)+5,I$1))</f>
        <v>1</v>
      </c>
      <c r="J370">
        <f t="shared" ca="1" si="55"/>
        <v>14</v>
      </c>
      <c r="K370">
        <f t="shared" ca="1" si="55"/>
        <v>225</v>
      </c>
      <c r="L370" s="3">
        <f t="shared" ca="1" si="57"/>
        <v>3</v>
      </c>
      <c r="M370" s="13">
        <f t="shared" ca="1" si="58"/>
        <v>0.40371730070321216</v>
      </c>
      <c r="N370">
        <f t="shared" ca="1" si="59"/>
        <v>-0.3899999999999999</v>
      </c>
      <c r="O370">
        <f t="shared" ca="1" si="60"/>
        <v>0</v>
      </c>
      <c r="P370">
        <f t="shared" ca="1" si="61"/>
        <v>0</v>
      </c>
      <c r="Q370">
        <f t="shared" ca="1" si="62"/>
        <v>1</v>
      </c>
      <c r="R370">
        <f t="shared" ca="1" si="63"/>
        <v>0</v>
      </c>
      <c r="S370">
        <f t="shared" ca="1" si="64"/>
        <v>2</v>
      </c>
      <c r="T370" s="17">
        <f t="shared" ca="1" si="65"/>
        <v>5.9885714285714284</v>
      </c>
    </row>
    <row r="371" spans="2:20" x14ac:dyDescent="0.3">
      <c r="B371">
        <f t="shared" ca="1" si="56"/>
        <v>50</v>
      </c>
      <c r="C371" cm="1">
        <f t="array" aca="1" ref="C371" ca="1">INDIRECT(ADDRESS(myRAND(1,C$2,C$8:C$9)+5,C$1))</f>
        <v>0</v>
      </c>
      <c r="D371" cm="1">
        <f t="array" aca="1" ref="D371" ca="1">INDIRECT(ADDRESS(myRAND(1,D$2,D$8:D$9)+5,D$1))</f>
        <v>1</v>
      </c>
      <c r="E371" cm="1">
        <f t="array" aca="1" ref="E371" ca="1">INDIRECT(ADDRESS(myRAND(1,E$2,E$8:E$9)+5,E$1))</f>
        <v>0</v>
      </c>
      <c r="F371" cm="1">
        <f t="array" aca="1" ref="F371" ca="1">INDIRECT(ADDRESS(myRAND(1,F$2,F$8:F$9)+5,F$1))</f>
        <v>1</v>
      </c>
      <c r="G371" cm="1">
        <f t="array" aca="1" ref="G371" ca="1">INDIRECT(ADDRESS(myRAND(1,G$2,G$8:G$9)+5,G$1))</f>
        <v>0</v>
      </c>
      <c r="H371" cm="1">
        <f t="array" aca="1" ref="H371" ca="1">INDIRECT(ADDRESS(myRAND(1,H$2,H$8:H$9)+5,H$1))</f>
        <v>0</v>
      </c>
      <c r="I371" cm="1">
        <f t="array" aca="1" ref="I371" ca="1">INDIRECT(ADDRESS(myRAND(1,I$2,I$8:I$9)+5,I$1))</f>
        <v>1</v>
      </c>
      <c r="J371">
        <f t="shared" ca="1" si="55"/>
        <v>14</v>
      </c>
      <c r="K371">
        <f t="shared" ca="1" si="55"/>
        <v>211</v>
      </c>
      <c r="L371" s="3">
        <f t="shared" ca="1" si="57"/>
        <v>2</v>
      </c>
      <c r="M371" s="13">
        <f t="shared" ca="1" si="58"/>
        <v>0.3846162436088178</v>
      </c>
      <c r="N371">
        <f t="shared" ca="1" si="59"/>
        <v>-0.4700000000000002</v>
      </c>
      <c r="O371">
        <f t="shared" ca="1" si="60"/>
        <v>0</v>
      </c>
      <c r="P371">
        <f t="shared" ca="1" si="61"/>
        <v>1</v>
      </c>
      <c r="Q371">
        <f t="shared" ca="1" si="62"/>
        <v>0</v>
      </c>
      <c r="R371">
        <f t="shared" ca="1" si="63"/>
        <v>0</v>
      </c>
      <c r="S371">
        <f t="shared" ca="1" si="64"/>
        <v>1</v>
      </c>
      <c r="T371" s="17">
        <f t="shared" ca="1" si="65"/>
        <v>4.7619047619047619</v>
      </c>
    </row>
    <row r="372" spans="2:20" x14ac:dyDescent="0.3">
      <c r="B372">
        <f t="shared" ca="1" si="56"/>
        <v>39</v>
      </c>
      <c r="C372" cm="1">
        <f t="array" aca="1" ref="C372" ca="1">INDIRECT(ADDRESS(myRAND(1,C$2,C$8:C$9)+5,C$1))</f>
        <v>0</v>
      </c>
      <c r="D372" cm="1">
        <f t="array" aca="1" ref="D372" ca="1">INDIRECT(ADDRESS(myRAND(1,D$2,D$8:D$9)+5,D$1))</f>
        <v>1</v>
      </c>
      <c r="E372" cm="1">
        <f t="array" aca="1" ref="E372" ca="1">INDIRECT(ADDRESS(myRAND(1,E$2,E$8:E$9)+5,E$1))</f>
        <v>0</v>
      </c>
      <c r="F372" cm="1">
        <f t="array" aca="1" ref="F372" ca="1">INDIRECT(ADDRESS(myRAND(1,F$2,F$8:F$9)+5,F$1))</f>
        <v>0</v>
      </c>
      <c r="G372" cm="1">
        <f t="array" aca="1" ref="G372" ca="1">INDIRECT(ADDRESS(myRAND(1,G$2,G$8:G$9)+5,G$1))</f>
        <v>1</v>
      </c>
      <c r="H372" cm="1">
        <f t="array" aca="1" ref="H372" ca="1">INDIRECT(ADDRESS(myRAND(1,H$2,H$8:H$9)+5,H$1))</f>
        <v>0</v>
      </c>
      <c r="I372" cm="1">
        <f t="array" aca="1" ref="I372" ca="1">INDIRECT(ADDRESS(myRAND(1,I$2,I$8:I$9)+5,I$1))</f>
        <v>1</v>
      </c>
      <c r="J372">
        <f t="shared" ca="1" si="55"/>
        <v>13</v>
      </c>
      <c r="K372">
        <f t="shared" ca="1" si="55"/>
        <v>208</v>
      </c>
      <c r="L372" s="3">
        <f t="shared" ca="1" si="57"/>
        <v>1</v>
      </c>
      <c r="M372" s="13">
        <f t="shared" ca="1" si="58"/>
        <v>5.6786180808788486E-2</v>
      </c>
      <c r="N372">
        <f t="shared" ca="1" si="59"/>
        <v>-2.81</v>
      </c>
      <c r="O372">
        <f t="shared" ca="1" si="60"/>
        <v>0</v>
      </c>
      <c r="P372">
        <f t="shared" ca="1" si="61"/>
        <v>0</v>
      </c>
      <c r="Q372">
        <f t="shared" ca="1" si="62"/>
        <v>1</v>
      </c>
      <c r="R372">
        <f t="shared" ca="1" si="63"/>
        <v>0</v>
      </c>
      <c r="S372">
        <f t="shared" ca="1" si="64"/>
        <v>2</v>
      </c>
      <c r="T372" s="17">
        <f t="shared" ca="1" si="65"/>
        <v>4.5709523809523809</v>
      </c>
    </row>
    <row r="373" spans="2:20" x14ac:dyDescent="0.3">
      <c r="B373">
        <f t="shared" ca="1" si="56"/>
        <v>51</v>
      </c>
      <c r="C373" cm="1">
        <f t="array" aca="1" ref="C373" ca="1">INDIRECT(ADDRESS(myRAND(1,C$2,C$8:C$9)+5,C$1))</f>
        <v>0</v>
      </c>
      <c r="D373" cm="1">
        <f t="array" aca="1" ref="D373" ca="1">INDIRECT(ADDRESS(myRAND(1,D$2,D$8:D$9)+5,D$1))</f>
        <v>0</v>
      </c>
      <c r="E373" cm="1">
        <f t="array" aca="1" ref="E373" ca="1">INDIRECT(ADDRESS(myRAND(1,E$2,E$8:E$9)+5,E$1))</f>
        <v>0</v>
      </c>
      <c r="F373" cm="1">
        <f t="array" aca="1" ref="F373" ca="1">INDIRECT(ADDRESS(myRAND(1,F$2,F$8:F$9)+5,F$1))</f>
        <v>0</v>
      </c>
      <c r="G373" cm="1">
        <f t="array" aca="1" ref="G373" ca="1">INDIRECT(ADDRESS(myRAND(1,G$2,G$8:G$9)+5,G$1))</f>
        <v>0</v>
      </c>
      <c r="H373" cm="1">
        <f t="array" aca="1" ref="H373" ca="1">INDIRECT(ADDRESS(myRAND(1,H$2,H$8:H$9)+5,H$1))</f>
        <v>0</v>
      </c>
      <c r="I373" cm="1">
        <f t="array" aca="1" ref="I373" ca="1">INDIRECT(ADDRESS(myRAND(1,I$2,I$8:I$9)+5,I$1))</f>
        <v>1</v>
      </c>
      <c r="J373">
        <f t="shared" ca="1" si="55"/>
        <v>18</v>
      </c>
      <c r="K373">
        <f t="shared" ca="1" si="55"/>
        <v>189</v>
      </c>
      <c r="L373" s="3">
        <f t="shared" ca="1" si="57"/>
        <v>3</v>
      </c>
      <c r="M373" s="13">
        <f t="shared" ca="1" si="58"/>
        <v>8.8668663254733285E-2</v>
      </c>
      <c r="N373">
        <f t="shared" ca="1" si="59"/>
        <v>-2.33</v>
      </c>
      <c r="O373">
        <f t="shared" ca="1" si="60"/>
        <v>0</v>
      </c>
      <c r="P373">
        <f t="shared" ca="1" si="61"/>
        <v>0</v>
      </c>
      <c r="Q373">
        <f t="shared" ca="1" si="62"/>
        <v>0</v>
      </c>
      <c r="R373">
        <f t="shared" ca="1" si="63"/>
        <v>1</v>
      </c>
      <c r="S373">
        <f t="shared" ca="1" si="64"/>
        <v>1</v>
      </c>
      <c r="T373" s="17">
        <f t="shared" ca="1" si="65"/>
        <v>4.9338095238095239</v>
      </c>
    </row>
    <row r="374" spans="2:20" x14ac:dyDescent="0.3">
      <c r="B374">
        <f t="shared" ca="1" si="56"/>
        <v>25</v>
      </c>
      <c r="C374" cm="1">
        <f t="array" aca="1" ref="C374" ca="1">INDIRECT(ADDRESS(myRAND(1,C$2,C$8:C$9)+5,C$1))</f>
        <v>0</v>
      </c>
      <c r="D374" cm="1">
        <f t="array" aca="1" ref="D374" ca="1">INDIRECT(ADDRESS(myRAND(1,D$2,D$8:D$9)+5,D$1))</f>
        <v>0</v>
      </c>
      <c r="E374" cm="1">
        <f t="array" aca="1" ref="E374" ca="1">INDIRECT(ADDRESS(myRAND(1,E$2,E$8:E$9)+5,E$1))</f>
        <v>0</v>
      </c>
      <c r="F374" cm="1">
        <f t="array" aca="1" ref="F374" ca="1">INDIRECT(ADDRESS(myRAND(1,F$2,F$8:F$9)+5,F$1))</f>
        <v>0</v>
      </c>
      <c r="G374" cm="1">
        <f t="array" aca="1" ref="G374" ca="1">INDIRECT(ADDRESS(myRAND(1,G$2,G$8:G$9)+5,G$1))</f>
        <v>0</v>
      </c>
      <c r="H374" cm="1">
        <f t="array" aca="1" ref="H374" ca="1">INDIRECT(ADDRESS(myRAND(1,H$2,H$8:H$9)+5,H$1))</f>
        <v>0</v>
      </c>
      <c r="I374" cm="1">
        <f t="array" aca="1" ref="I374" ca="1">INDIRECT(ADDRESS(myRAND(1,I$2,I$8:I$9)+5,I$1))</f>
        <v>0</v>
      </c>
      <c r="J374">
        <f t="shared" ca="1" si="55"/>
        <v>11</v>
      </c>
      <c r="K374">
        <f t="shared" ca="1" si="55"/>
        <v>254</v>
      </c>
      <c r="L374" s="3">
        <f t="shared" ca="1" si="57"/>
        <v>1</v>
      </c>
      <c r="M374" s="13">
        <f t="shared" ca="1" si="58"/>
        <v>3.3246308839474104E-2</v>
      </c>
      <c r="N374">
        <f t="shared" ca="1" si="59"/>
        <v>-3.37</v>
      </c>
      <c r="O374">
        <f t="shared" ca="1" si="60"/>
        <v>0</v>
      </c>
      <c r="P374">
        <f t="shared" ca="1" si="61"/>
        <v>0</v>
      </c>
      <c r="Q374">
        <f t="shared" ca="1" si="62"/>
        <v>0</v>
      </c>
      <c r="R374">
        <f t="shared" ca="1" si="63"/>
        <v>1</v>
      </c>
      <c r="S374">
        <f t="shared" ca="1" si="64"/>
        <v>0</v>
      </c>
      <c r="T374" s="17">
        <f t="shared" ca="1" si="65"/>
        <v>1.5166666666666666</v>
      </c>
    </row>
    <row r="375" spans="2:20" x14ac:dyDescent="0.3">
      <c r="B375">
        <f t="shared" ca="1" si="56"/>
        <v>65</v>
      </c>
      <c r="C375" cm="1">
        <f t="array" aca="1" ref="C375" ca="1">INDIRECT(ADDRESS(myRAND(1,C$2,C$8:C$9)+5,C$1))</f>
        <v>0</v>
      </c>
      <c r="D375" cm="1">
        <f t="array" aca="1" ref="D375" ca="1">INDIRECT(ADDRESS(myRAND(1,D$2,D$8:D$9)+5,D$1))</f>
        <v>0</v>
      </c>
      <c r="E375" cm="1">
        <f t="array" aca="1" ref="E375" ca="1">INDIRECT(ADDRESS(myRAND(1,E$2,E$8:E$9)+5,E$1))</f>
        <v>0</v>
      </c>
      <c r="F375" cm="1">
        <f t="array" aca="1" ref="F375" ca="1">INDIRECT(ADDRESS(myRAND(1,F$2,F$8:F$9)+5,F$1))</f>
        <v>1</v>
      </c>
      <c r="G375" cm="1">
        <f t="array" aca="1" ref="G375" ca="1">INDIRECT(ADDRESS(myRAND(1,G$2,G$8:G$9)+5,G$1))</f>
        <v>0</v>
      </c>
      <c r="H375" cm="1">
        <f t="array" aca="1" ref="H375" ca="1">INDIRECT(ADDRESS(myRAND(1,H$2,H$8:H$9)+5,H$1))</f>
        <v>1</v>
      </c>
      <c r="I375" cm="1">
        <f t="array" aca="1" ref="I375" ca="1">INDIRECT(ADDRESS(myRAND(1,I$2,I$8:I$9)+5,I$1))</f>
        <v>0</v>
      </c>
      <c r="J375">
        <f t="shared" ca="1" si="55"/>
        <v>14</v>
      </c>
      <c r="K375">
        <f t="shared" ca="1" si="55"/>
        <v>214</v>
      </c>
      <c r="L375" s="3">
        <f t="shared" ca="1" si="57"/>
        <v>1</v>
      </c>
      <c r="M375" s="13">
        <f t="shared" ca="1" si="58"/>
        <v>0.14554232893696525</v>
      </c>
      <c r="N375">
        <f t="shared" ca="1" si="59"/>
        <v>-1.77</v>
      </c>
      <c r="O375">
        <f t="shared" ca="1" si="60"/>
        <v>0</v>
      </c>
      <c r="P375">
        <f t="shared" ca="1" si="61"/>
        <v>0</v>
      </c>
      <c r="Q375">
        <f t="shared" ca="1" si="62"/>
        <v>1</v>
      </c>
      <c r="R375">
        <f t="shared" ca="1" si="63"/>
        <v>0</v>
      </c>
      <c r="S375">
        <f t="shared" ca="1" si="64"/>
        <v>1</v>
      </c>
      <c r="T375" s="17">
        <f t="shared" ca="1" si="65"/>
        <v>1.9261904761904762</v>
      </c>
    </row>
    <row r="376" spans="2:20" x14ac:dyDescent="0.3">
      <c r="B376">
        <f t="shared" ca="1" si="56"/>
        <v>41</v>
      </c>
      <c r="C376" cm="1">
        <f t="array" aca="1" ref="C376" ca="1">INDIRECT(ADDRESS(myRAND(1,C$2,C$8:C$9)+5,C$1))</f>
        <v>1</v>
      </c>
      <c r="D376" cm="1">
        <f t="array" aca="1" ref="D376" ca="1">INDIRECT(ADDRESS(myRAND(1,D$2,D$8:D$9)+5,D$1))</f>
        <v>0</v>
      </c>
      <c r="E376" cm="1">
        <f t="array" aca="1" ref="E376" ca="1">INDIRECT(ADDRESS(myRAND(1,E$2,E$8:E$9)+5,E$1))</f>
        <v>0</v>
      </c>
      <c r="F376" cm="1">
        <f t="array" aca="1" ref="F376" ca="1">INDIRECT(ADDRESS(myRAND(1,F$2,F$8:F$9)+5,F$1))</f>
        <v>0</v>
      </c>
      <c r="G376" cm="1">
        <f t="array" aca="1" ref="G376" ca="1">INDIRECT(ADDRESS(myRAND(1,G$2,G$8:G$9)+5,G$1))</f>
        <v>1</v>
      </c>
      <c r="H376" cm="1">
        <f t="array" aca="1" ref="H376" ca="1">INDIRECT(ADDRESS(myRAND(1,H$2,H$8:H$9)+5,H$1))</f>
        <v>0</v>
      </c>
      <c r="I376" cm="1">
        <f t="array" aca="1" ref="I376" ca="1">INDIRECT(ADDRESS(myRAND(1,I$2,I$8:I$9)+5,I$1))</f>
        <v>0</v>
      </c>
      <c r="J376">
        <f t="shared" ca="1" si="55"/>
        <v>18</v>
      </c>
      <c r="K376">
        <f t="shared" ca="1" si="55"/>
        <v>193</v>
      </c>
      <c r="L376" s="3">
        <f t="shared" ca="1" si="57"/>
        <v>3</v>
      </c>
      <c r="M376" s="13">
        <f t="shared" ca="1" si="58"/>
        <v>0.19940775684866852</v>
      </c>
      <c r="N376">
        <f t="shared" ca="1" si="59"/>
        <v>-1.39</v>
      </c>
      <c r="O376">
        <f t="shared" ca="1" si="60"/>
        <v>0</v>
      </c>
      <c r="P376">
        <f t="shared" ca="1" si="61"/>
        <v>0</v>
      </c>
      <c r="Q376">
        <f t="shared" ca="1" si="62"/>
        <v>0</v>
      </c>
      <c r="R376">
        <f t="shared" ca="1" si="63"/>
        <v>0</v>
      </c>
      <c r="S376">
        <f t="shared" ca="1" si="64"/>
        <v>1</v>
      </c>
      <c r="T376" s="17">
        <f t="shared" ca="1" si="65"/>
        <v>2.8528571428571428</v>
      </c>
    </row>
    <row r="377" spans="2:20" x14ac:dyDescent="0.3">
      <c r="B377">
        <f t="shared" ca="1" si="56"/>
        <v>34</v>
      </c>
      <c r="C377" cm="1">
        <f t="array" aca="1" ref="C377" ca="1">INDIRECT(ADDRESS(myRAND(1,C$2,C$8:C$9)+5,C$1))</f>
        <v>0</v>
      </c>
      <c r="D377" cm="1">
        <f t="array" aca="1" ref="D377" ca="1">INDIRECT(ADDRESS(myRAND(1,D$2,D$8:D$9)+5,D$1))</f>
        <v>0</v>
      </c>
      <c r="E377" cm="1">
        <f t="array" aca="1" ref="E377" ca="1">INDIRECT(ADDRESS(myRAND(1,E$2,E$8:E$9)+5,E$1))</f>
        <v>0</v>
      </c>
      <c r="F377" cm="1">
        <f t="array" aca="1" ref="F377" ca="1">INDIRECT(ADDRESS(myRAND(1,F$2,F$8:F$9)+5,F$1))</f>
        <v>0</v>
      </c>
      <c r="G377" cm="1">
        <f t="array" aca="1" ref="G377" ca="1">INDIRECT(ADDRESS(myRAND(1,G$2,G$8:G$9)+5,G$1))</f>
        <v>0</v>
      </c>
      <c r="H377" cm="1">
        <f t="array" aca="1" ref="H377" ca="1">INDIRECT(ADDRESS(myRAND(1,H$2,H$8:H$9)+5,H$1))</f>
        <v>0</v>
      </c>
      <c r="I377" cm="1">
        <f t="array" aca="1" ref="I377" ca="1">INDIRECT(ADDRESS(myRAND(1,I$2,I$8:I$9)+5,I$1))</f>
        <v>1</v>
      </c>
      <c r="J377">
        <f t="shared" ca="1" si="55"/>
        <v>12</v>
      </c>
      <c r="K377">
        <f t="shared" ca="1" si="55"/>
        <v>228</v>
      </c>
      <c r="L377" s="3">
        <f t="shared" ca="1" si="57"/>
        <v>3</v>
      </c>
      <c r="M377" s="13">
        <f t="shared" ca="1" si="58"/>
        <v>4.6976145678283544E-2</v>
      </c>
      <c r="N377">
        <f t="shared" ca="1" si="59"/>
        <v>-3.01</v>
      </c>
      <c r="O377">
        <f t="shared" ca="1" si="60"/>
        <v>0</v>
      </c>
      <c r="P377">
        <f t="shared" ca="1" si="61"/>
        <v>0</v>
      </c>
      <c r="Q377">
        <f t="shared" ca="1" si="62"/>
        <v>0</v>
      </c>
      <c r="R377">
        <f t="shared" ca="1" si="63"/>
        <v>1</v>
      </c>
      <c r="S377">
        <f t="shared" ca="1" si="64"/>
        <v>1</v>
      </c>
      <c r="T377" s="17">
        <f t="shared" ca="1" si="65"/>
        <v>4.5495238095238095</v>
      </c>
    </row>
    <row r="378" spans="2:20" x14ac:dyDescent="0.3">
      <c r="B378">
        <f t="shared" ca="1" si="56"/>
        <v>42</v>
      </c>
      <c r="C378" cm="1">
        <f t="array" aca="1" ref="C378" ca="1">INDIRECT(ADDRESS(myRAND(1,C$2,C$8:C$9)+5,C$1))</f>
        <v>0</v>
      </c>
      <c r="D378" cm="1">
        <f t="array" aca="1" ref="D378" ca="1">INDIRECT(ADDRESS(myRAND(1,D$2,D$8:D$9)+5,D$1))</f>
        <v>0</v>
      </c>
      <c r="E378" cm="1">
        <f t="array" aca="1" ref="E378" ca="1">INDIRECT(ADDRESS(myRAND(1,E$2,E$8:E$9)+5,E$1))</f>
        <v>1</v>
      </c>
      <c r="F378" cm="1">
        <f t="array" aca="1" ref="F378" ca="1">INDIRECT(ADDRESS(myRAND(1,F$2,F$8:F$9)+5,F$1))</f>
        <v>1</v>
      </c>
      <c r="G378" cm="1">
        <f t="array" aca="1" ref="G378" ca="1">INDIRECT(ADDRESS(myRAND(1,G$2,G$8:G$9)+5,G$1))</f>
        <v>0</v>
      </c>
      <c r="H378" cm="1">
        <f t="array" aca="1" ref="H378" ca="1">INDIRECT(ADDRESS(myRAND(1,H$2,H$8:H$9)+5,H$1))</f>
        <v>0</v>
      </c>
      <c r="I378" cm="1">
        <f t="array" aca="1" ref="I378" ca="1">INDIRECT(ADDRESS(myRAND(1,I$2,I$8:I$9)+5,I$1))</f>
        <v>1</v>
      </c>
      <c r="J378">
        <f t="shared" ca="1" si="55"/>
        <v>20</v>
      </c>
      <c r="K378">
        <f t="shared" ca="1" si="55"/>
        <v>189</v>
      </c>
      <c r="L378" s="3">
        <f t="shared" ca="1" si="57"/>
        <v>3</v>
      </c>
      <c r="M378" s="13">
        <f t="shared" ca="1" si="58"/>
        <v>0.31216866941715948</v>
      </c>
      <c r="N378">
        <f t="shared" ca="1" si="59"/>
        <v>-0.79000000000000048</v>
      </c>
      <c r="O378">
        <f t="shared" ca="1" si="60"/>
        <v>0</v>
      </c>
      <c r="P378">
        <f t="shared" ca="1" si="61"/>
        <v>1</v>
      </c>
      <c r="Q378">
        <f t="shared" ca="1" si="62"/>
        <v>0</v>
      </c>
      <c r="R378">
        <f t="shared" ca="1" si="63"/>
        <v>0</v>
      </c>
      <c r="S378">
        <f t="shared" ca="1" si="64"/>
        <v>1</v>
      </c>
      <c r="T378" s="17">
        <f t="shared" ca="1" si="65"/>
        <v>4.9771428571428569</v>
      </c>
    </row>
    <row r="379" spans="2:20" x14ac:dyDescent="0.3">
      <c r="B379">
        <f t="shared" ca="1" si="56"/>
        <v>57</v>
      </c>
      <c r="C379" cm="1">
        <f t="array" aca="1" ref="C379" ca="1">INDIRECT(ADDRESS(myRAND(1,C$2,C$8:C$9)+5,C$1))</f>
        <v>0</v>
      </c>
      <c r="D379" cm="1">
        <f t="array" aca="1" ref="D379" ca="1">INDIRECT(ADDRESS(myRAND(1,D$2,D$8:D$9)+5,D$1))</f>
        <v>1</v>
      </c>
      <c r="E379" cm="1">
        <f t="array" aca="1" ref="E379" ca="1">INDIRECT(ADDRESS(myRAND(1,E$2,E$8:E$9)+5,E$1))</f>
        <v>0</v>
      </c>
      <c r="F379" cm="1">
        <f t="array" aca="1" ref="F379" ca="1">INDIRECT(ADDRESS(myRAND(1,F$2,F$8:F$9)+5,F$1))</f>
        <v>1</v>
      </c>
      <c r="G379" cm="1">
        <f t="array" aca="1" ref="G379" ca="1">INDIRECT(ADDRESS(myRAND(1,G$2,G$8:G$9)+5,G$1))</f>
        <v>0</v>
      </c>
      <c r="H379" cm="1">
        <f t="array" aca="1" ref="H379" ca="1">INDIRECT(ADDRESS(myRAND(1,H$2,H$8:H$9)+5,H$1))</f>
        <v>0</v>
      </c>
      <c r="I379" cm="1">
        <f t="array" aca="1" ref="I379" ca="1">INDIRECT(ADDRESS(myRAND(1,I$2,I$8:I$9)+5,I$1))</f>
        <v>1</v>
      </c>
      <c r="J379">
        <f t="shared" ca="1" si="55"/>
        <v>16</v>
      </c>
      <c r="K379">
        <f t="shared" ca="1" si="55"/>
        <v>216</v>
      </c>
      <c r="L379" s="3">
        <f t="shared" ca="1" si="57"/>
        <v>3</v>
      </c>
      <c r="M379" s="13">
        <f t="shared" ca="1" si="58"/>
        <v>0.45264238185691075</v>
      </c>
      <c r="N379">
        <f t="shared" ca="1" si="59"/>
        <v>-0.18999999999999995</v>
      </c>
      <c r="O379">
        <f t="shared" ca="1" si="60"/>
        <v>0</v>
      </c>
      <c r="P379">
        <f t="shared" ca="1" si="61"/>
        <v>1</v>
      </c>
      <c r="Q379">
        <f t="shared" ca="1" si="62"/>
        <v>0</v>
      </c>
      <c r="R379">
        <f t="shared" ca="1" si="63"/>
        <v>0</v>
      </c>
      <c r="S379">
        <f t="shared" ca="1" si="64"/>
        <v>1</v>
      </c>
      <c r="T379" s="17">
        <f t="shared" ca="1" si="65"/>
        <v>4.9890476190476196</v>
      </c>
    </row>
    <row r="380" spans="2:20" x14ac:dyDescent="0.3">
      <c r="B380">
        <f t="shared" ca="1" si="56"/>
        <v>40</v>
      </c>
      <c r="C380" cm="1">
        <f t="array" aca="1" ref="C380" ca="1">INDIRECT(ADDRESS(myRAND(1,C$2,C$8:C$9)+5,C$1))</f>
        <v>0</v>
      </c>
      <c r="D380" cm="1">
        <f t="array" aca="1" ref="D380" ca="1">INDIRECT(ADDRESS(myRAND(1,D$2,D$8:D$9)+5,D$1))</f>
        <v>0</v>
      </c>
      <c r="E380" cm="1">
        <f t="array" aca="1" ref="E380" ca="1">INDIRECT(ADDRESS(myRAND(1,E$2,E$8:E$9)+5,E$1))</f>
        <v>1</v>
      </c>
      <c r="F380" cm="1">
        <f t="array" aca="1" ref="F380" ca="1">INDIRECT(ADDRESS(myRAND(1,F$2,F$8:F$9)+5,F$1))</f>
        <v>0</v>
      </c>
      <c r="G380" cm="1">
        <f t="array" aca="1" ref="G380" ca="1">INDIRECT(ADDRESS(myRAND(1,G$2,G$8:G$9)+5,G$1))</f>
        <v>0</v>
      </c>
      <c r="H380" cm="1">
        <f t="array" aca="1" ref="H380" ca="1">INDIRECT(ADDRESS(myRAND(1,H$2,H$8:H$9)+5,H$1))</f>
        <v>0</v>
      </c>
      <c r="I380" cm="1">
        <f t="array" aca="1" ref="I380" ca="1">INDIRECT(ADDRESS(myRAND(1,I$2,I$8:I$9)+5,I$1))</f>
        <v>1</v>
      </c>
      <c r="J380">
        <f t="shared" ca="1" si="55"/>
        <v>16</v>
      </c>
      <c r="K380">
        <f t="shared" ca="1" si="55"/>
        <v>210</v>
      </c>
      <c r="L380" s="3">
        <f t="shared" ca="1" si="57"/>
        <v>1</v>
      </c>
      <c r="M380" s="13">
        <f t="shared" ca="1" si="58"/>
        <v>5.8967013464791759E-2</v>
      </c>
      <c r="N380">
        <f t="shared" ca="1" si="59"/>
        <v>-2.77</v>
      </c>
      <c r="O380">
        <f t="shared" ca="1" si="60"/>
        <v>0</v>
      </c>
      <c r="P380">
        <f t="shared" ca="1" si="61"/>
        <v>0</v>
      </c>
      <c r="Q380">
        <f t="shared" ca="1" si="62"/>
        <v>1</v>
      </c>
      <c r="R380">
        <f t="shared" ca="1" si="63"/>
        <v>0</v>
      </c>
      <c r="S380">
        <f t="shared" ca="1" si="64"/>
        <v>1</v>
      </c>
      <c r="T380" s="17">
        <f t="shared" ca="1" si="65"/>
        <v>4.7904761904761903</v>
      </c>
    </row>
    <row r="381" spans="2:20" x14ac:dyDescent="0.3">
      <c r="B381">
        <f t="shared" ca="1" si="56"/>
        <v>20</v>
      </c>
      <c r="C381" cm="1">
        <f t="array" aca="1" ref="C381" ca="1">INDIRECT(ADDRESS(myRAND(1,C$2,C$8:C$9)+5,C$1))</f>
        <v>0</v>
      </c>
      <c r="D381" cm="1">
        <f t="array" aca="1" ref="D381" ca="1">INDIRECT(ADDRESS(myRAND(1,D$2,D$8:D$9)+5,D$1))</f>
        <v>0</v>
      </c>
      <c r="E381" cm="1">
        <f t="array" aca="1" ref="E381" ca="1">INDIRECT(ADDRESS(myRAND(1,E$2,E$8:E$9)+5,E$1))</f>
        <v>1</v>
      </c>
      <c r="F381" cm="1">
        <f t="array" aca="1" ref="F381" ca="1">INDIRECT(ADDRESS(myRAND(1,F$2,F$8:F$9)+5,F$1))</f>
        <v>0</v>
      </c>
      <c r="G381" cm="1">
        <f t="array" aca="1" ref="G381" ca="1">INDIRECT(ADDRESS(myRAND(1,G$2,G$8:G$9)+5,G$1))</f>
        <v>0</v>
      </c>
      <c r="H381" cm="1">
        <f t="array" aca="1" ref="H381" ca="1">INDIRECT(ADDRESS(myRAND(1,H$2,H$8:H$9)+5,H$1))</f>
        <v>0</v>
      </c>
      <c r="I381" cm="1">
        <f t="array" aca="1" ref="I381" ca="1">INDIRECT(ADDRESS(myRAND(1,I$2,I$8:I$9)+5,I$1))</f>
        <v>0</v>
      </c>
      <c r="J381">
        <f t="shared" ca="1" si="55"/>
        <v>16</v>
      </c>
      <c r="K381">
        <f t="shared" ca="1" si="55"/>
        <v>186</v>
      </c>
      <c r="L381" s="3">
        <f t="shared" ca="1" si="57"/>
        <v>1</v>
      </c>
      <c r="M381" s="13">
        <f t="shared" ca="1" si="58"/>
        <v>2.7384810950125675E-2</v>
      </c>
      <c r="N381">
        <f t="shared" ca="1" si="59"/>
        <v>-3.5700000000000003</v>
      </c>
      <c r="O381">
        <f t="shared" ca="1" si="60"/>
        <v>0</v>
      </c>
      <c r="P381">
        <f t="shared" ca="1" si="61"/>
        <v>0</v>
      </c>
      <c r="Q381">
        <f t="shared" ca="1" si="62"/>
        <v>1</v>
      </c>
      <c r="R381">
        <f t="shared" ca="1" si="63"/>
        <v>0</v>
      </c>
      <c r="S381">
        <f t="shared" ca="1" si="64"/>
        <v>0</v>
      </c>
      <c r="T381" s="17">
        <f t="shared" ca="1" si="65"/>
        <v>1.4761904761904763</v>
      </c>
    </row>
    <row r="382" spans="2:20" x14ac:dyDescent="0.3">
      <c r="B382">
        <f t="shared" ca="1" si="56"/>
        <v>59</v>
      </c>
      <c r="C382" cm="1">
        <f t="array" aca="1" ref="C382" ca="1">INDIRECT(ADDRESS(myRAND(1,C$2,C$8:C$9)+5,C$1))</f>
        <v>0</v>
      </c>
      <c r="D382" cm="1">
        <f t="array" aca="1" ref="D382" ca="1">INDIRECT(ADDRESS(myRAND(1,D$2,D$8:D$9)+5,D$1))</f>
        <v>1</v>
      </c>
      <c r="E382" cm="1">
        <f t="array" aca="1" ref="E382" ca="1">INDIRECT(ADDRESS(myRAND(1,E$2,E$8:E$9)+5,E$1))</f>
        <v>0</v>
      </c>
      <c r="F382" cm="1">
        <f t="array" aca="1" ref="F382" ca="1">INDIRECT(ADDRESS(myRAND(1,F$2,F$8:F$9)+5,F$1))</f>
        <v>0</v>
      </c>
      <c r="G382" cm="1">
        <f t="array" aca="1" ref="G382" ca="1">INDIRECT(ADDRESS(myRAND(1,G$2,G$8:G$9)+5,G$1))</f>
        <v>1</v>
      </c>
      <c r="H382" cm="1">
        <f t="array" aca="1" ref="H382" ca="1">INDIRECT(ADDRESS(myRAND(1,H$2,H$8:H$9)+5,H$1))</f>
        <v>0</v>
      </c>
      <c r="I382" cm="1">
        <f t="array" aca="1" ref="I382" ca="1">INDIRECT(ADDRESS(myRAND(1,I$2,I$8:I$9)+5,I$1))</f>
        <v>0</v>
      </c>
      <c r="J382">
        <f t="shared" ca="1" si="55"/>
        <v>16</v>
      </c>
      <c r="K382">
        <f t="shared" ca="1" si="55"/>
        <v>218</v>
      </c>
      <c r="L382" s="3">
        <f t="shared" ca="1" si="57"/>
        <v>1</v>
      </c>
      <c r="M382" s="13">
        <f t="shared" ca="1" si="58"/>
        <v>0.11815697780926952</v>
      </c>
      <c r="N382">
        <f t="shared" ca="1" si="59"/>
        <v>-2.0100000000000002</v>
      </c>
      <c r="O382">
        <f t="shared" ca="1" si="60"/>
        <v>0</v>
      </c>
      <c r="P382">
        <f t="shared" ca="1" si="61"/>
        <v>0</v>
      </c>
      <c r="Q382">
        <f t="shared" ca="1" si="62"/>
        <v>1</v>
      </c>
      <c r="R382">
        <f t="shared" ca="1" si="63"/>
        <v>0</v>
      </c>
      <c r="S382">
        <f t="shared" ca="1" si="64"/>
        <v>1</v>
      </c>
      <c r="T382" s="17">
        <f t="shared" ca="1" si="65"/>
        <v>2.0185714285714287</v>
      </c>
    </row>
    <row r="383" spans="2:20" x14ac:dyDescent="0.3">
      <c r="B383">
        <f t="shared" ca="1" si="56"/>
        <v>60</v>
      </c>
      <c r="C383" cm="1">
        <f t="array" aca="1" ref="C383" ca="1">INDIRECT(ADDRESS(myRAND(1,C$2,C$8:C$9)+5,C$1))</f>
        <v>0</v>
      </c>
      <c r="D383" cm="1">
        <f t="array" aca="1" ref="D383" ca="1">INDIRECT(ADDRESS(myRAND(1,D$2,D$8:D$9)+5,D$1))</f>
        <v>1</v>
      </c>
      <c r="E383" cm="1">
        <f t="array" aca="1" ref="E383" ca="1">INDIRECT(ADDRESS(myRAND(1,E$2,E$8:E$9)+5,E$1))</f>
        <v>1</v>
      </c>
      <c r="F383" cm="1">
        <f t="array" aca="1" ref="F383" ca="1">INDIRECT(ADDRESS(myRAND(1,F$2,F$8:F$9)+5,F$1))</f>
        <v>1</v>
      </c>
      <c r="G383" cm="1">
        <f t="array" aca="1" ref="G383" ca="1">INDIRECT(ADDRESS(myRAND(1,G$2,G$8:G$9)+5,G$1))</f>
        <v>0</v>
      </c>
      <c r="H383" cm="1">
        <f t="array" aca="1" ref="H383" ca="1">INDIRECT(ADDRESS(myRAND(1,H$2,H$8:H$9)+5,H$1))</f>
        <v>0</v>
      </c>
      <c r="I383" cm="1">
        <f t="array" aca="1" ref="I383" ca="1">INDIRECT(ADDRESS(myRAND(1,I$2,I$8:I$9)+5,I$1))</f>
        <v>0</v>
      </c>
      <c r="J383">
        <f t="shared" ca="1" si="55"/>
        <v>15</v>
      </c>
      <c r="K383">
        <f t="shared" ca="1" si="55"/>
        <v>212</v>
      </c>
      <c r="L383" s="3">
        <f t="shared" ca="1" si="57"/>
        <v>2</v>
      </c>
      <c r="M383" s="13">
        <f t="shared" ca="1" si="58"/>
        <v>0.2091593652130633</v>
      </c>
      <c r="N383">
        <f t="shared" ca="1" si="59"/>
        <v>-1.33</v>
      </c>
      <c r="O383">
        <f t="shared" ca="1" si="60"/>
        <v>1</v>
      </c>
      <c r="P383">
        <f t="shared" ca="1" si="61"/>
        <v>0</v>
      </c>
      <c r="Q383">
        <f t="shared" ca="1" si="62"/>
        <v>0</v>
      </c>
      <c r="R383">
        <f t="shared" ca="1" si="63"/>
        <v>0</v>
      </c>
      <c r="S383">
        <f t="shared" ca="1" si="64"/>
        <v>0</v>
      </c>
      <c r="T383" s="17">
        <f t="shared" ca="1" si="65"/>
        <v>1.9333333333333333</v>
      </c>
    </row>
    <row r="384" spans="2:20" x14ac:dyDescent="0.3">
      <c r="B384">
        <f t="shared" ca="1" si="56"/>
        <v>50</v>
      </c>
      <c r="C384" cm="1">
        <f t="array" aca="1" ref="C384" ca="1">INDIRECT(ADDRESS(myRAND(1,C$2,C$8:C$9)+5,C$1))</f>
        <v>1</v>
      </c>
      <c r="D384" cm="1">
        <f t="array" aca="1" ref="D384" ca="1">INDIRECT(ADDRESS(myRAND(1,D$2,D$8:D$9)+5,D$1))</f>
        <v>1</v>
      </c>
      <c r="E384" cm="1">
        <f t="array" aca="1" ref="E384" ca="1">INDIRECT(ADDRESS(myRAND(1,E$2,E$8:E$9)+5,E$1))</f>
        <v>1</v>
      </c>
      <c r="F384" cm="1">
        <f t="array" aca="1" ref="F384" ca="1">INDIRECT(ADDRESS(myRAND(1,F$2,F$8:F$9)+5,F$1))</f>
        <v>1</v>
      </c>
      <c r="G384" cm="1">
        <f t="array" aca="1" ref="G384" ca="1">INDIRECT(ADDRESS(myRAND(1,G$2,G$8:G$9)+5,G$1))</f>
        <v>1</v>
      </c>
      <c r="H384" cm="1">
        <f t="array" aca="1" ref="H384" ca="1">INDIRECT(ADDRESS(myRAND(1,H$2,H$8:H$9)+5,H$1))</f>
        <v>0</v>
      </c>
      <c r="I384" cm="1">
        <f t="array" aca="1" ref="I384" ca="1">INDIRECT(ADDRESS(myRAND(1,I$2,I$8:I$9)+5,I$1))</f>
        <v>0</v>
      </c>
      <c r="J384">
        <f t="shared" ca="1" si="55"/>
        <v>18</v>
      </c>
      <c r="K384">
        <f t="shared" ca="1" si="55"/>
        <v>211</v>
      </c>
      <c r="L384" s="3">
        <f t="shared" ca="1" si="57"/>
        <v>3</v>
      </c>
      <c r="M384" s="13">
        <f t="shared" ca="1" si="58"/>
        <v>0.40371730070321216</v>
      </c>
      <c r="N384">
        <f t="shared" ca="1" si="59"/>
        <v>-0.39</v>
      </c>
      <c r="O384">
        <f t="shared" ca="1" si="60"/>
        <v>1</v>
      </c>
      <c r="P384">
        <f t="shared" ca="1" si="61"/>
        <v>0</v>
      </c>
      <c r="Q384">
        <f t="shared" ca="1" si="62"/>
        <v>0</v>
      </c>
      <c r="R384">
        <f t="shared" ca="1" si="63"/>
        <v>0</v>
      </c>
      <c r="S384">
        <f t="shared" ca="1" si="64"/>
        <v>1</v>
      </c>
      <c r="T384" s="17">
        <f t="shared" ca="1" si="65"/>
        <v>3.0285714285714285</v>
      </c>
    </row>
    <row r="385" spans="2:20" x14ac:dyDescent="0.3">
      <c r="B385">
        <f t="shared" ca="1" si="56"/>
        <v>56</v>
      </c>
      <c r="C385" cm="1">
        <f t="array" aca="1" ref="C385" ca="1">INDIRECT(ADDRESS(myRAND(1,C$2,C$8:C$9)+5,C$1))</f>
        <v>1</v>
      </c>
      <c r="D385" cm="1">
        <f t="array" aca="1" ref="D385" ca="1">INDIRECT(ADDRESS(myRAND(1,D$2,D$8:D$9)+5,D$1))</f>
        <v>0</v>
      </c>
      <c r="E385" cm="1">
        <f t="array" aca="1" ref="E385" ca="1">INDIRECT(ADDRESS(myRAND(1,E$2,E$8:E$9)+5,E$1))</f>
        <v>0</v>
      </c>
      <c r="F385" cm="1">
        <f t="array" aca="1" ref="F385" ca="1">INDIRECT(ADDRESS(myRAND(1,F$2,F$8:F$9)+5,F$1))</f>
        <v>0</v>
      </c>
      <c r="G385" cm="1">
        <f t="array" aca="1" ref="G385" ca="1">INDIRECT(ADDRESS(myRAND(1,G$2,G$8:G$9)+5,G$1))</f>
        <v>0</v>
      </c>
      <c r="H385" cm="1">
        <f t="array" aca="1" ref="H385" ca="1">INDIRECT(ADDRESS(myRAND(1,H$2,H$8:H$9)+5,H$1))</f>
        <v>0</v>
      </c>
      <c r="I385" cm="1">
        <f t="array" aca="1" ref="I385" ca="1">INDIRECT(ADDRESS(myRAND(1,I$2,I$8:I$9)+5,I$1))</f>
        <v>1</v>
      </c>
      <c r="J385">
        <f t="shared" ca="1" si="55"/>
        <v>9</v>
      </c>
      <c r="K385">
        <f t="shared" ca="1" si="55"/>
        <v>204</v>
      </c>
      <c r="L385" s="3">
        <f t="shared" ca="1" si="57"/>
        <v>3</v>
      </c>
      <c r="M385" s="13">
        <f t="shared" ca="1" si="58"/>
        <v>0.31216866941715965</v>
      </c>
      <c r="N385">
        <f t="shared" ca="1" si="59"/>
        <v>-0.78999999999999981</v>
      </c>
      <c r="O385">
        <f t="shared" ca="1" si="60"/>
        <v>0</v>
      </c>
      <c r="P385">
        <f t="shared" ca="1" si="61"/>
        <v>0</v>
      </c>
      <c r="Q385">
        <f t="shared" ca="1" si="62"/>
        <v>0</v>
      </c>
      <c r="R385">
        <f t="shared" ca="1" si="63"/>
        <v>1</v>
      </c>
      <c r="S385">
        <f t="shared" ca="1" si="64"/>
        <v>1</v>
      </c>
      <c r="T385" s="17">
        <f t="shared" ca="1" si="65"/>
        <v>5.4552380952380952</v>
      </c>
    </row>
    <row r="386" spans="2:20" x14ac:dyDescent="0.3">
      <c r="B386">
        <f t="shared" ca="1" si="56"/>
        <v>43</v>
      </c>
      <c r="C386" cm="1">
        <f t="array" aca="1" ref="C386" ca="1">INDIRECT(ADDRESS(myRAND(1,C$2,C$8:C$9)+5,C$1))</f>
        <v>1</v>
      </c>
      <c r="D386" cm="1">
        <f t="array" aca="1" ref="D386" ca="1">INDIRECT(ADDRESS(myRAND(1,D$2,D$8:D$9)+5,D$1))</f>
        <v>1</v>
      </c>
      <c r="E386" cm="1">
        <f t="array" aca="1" ref="E386" ca="1">INDIRECT(ADDRESS(myRAND(1,E$2,E$8:E$9)+5,E$1))</f>
        <v>1</v>
      </c>
      <c r="F386" cm="1">
        <f t="array" aca="1" ref="F386" ca="1">INDIRECT(ADDRESS(myRAND(1,F$2,F$8:F$9)+5,F$1))</f>
        <v>0</v>
      </c>
      <c r="G386" cm="1">
        <f t="array" aca="1" ref="G386" ca="1">INDIRECT(ADDRESS(myRAND(1,G$2,G$8:G$9)+5,G$1))</f>
        <v>1</v>
      </c>
      <c r="H386" cm="1">
        <f t="array" aca="1" ref="H386" ca="1">INDIRECT(ADDRESS(myRAND(1,H$2,H$8:H$9)+5,H$1))</f>
        <v>0</v>
      </c>
      <c r="I386" cm="1">
        <f t="array" aca="1" ref="I386" ca="1">INDIRECT(ADDRESS(myRAND(1,I$2,I$8:I$9)+5,I$1))</f>
        <v>1</v>
      </c>
      <c r="J386">
        <f t="shared" ca="1" si="55"/>
        <v>15</v>
      </c>
      <c r="K386">
        <f t="shared" ca="1" si="55"/>
        <v>214</v>
      </c>
      <c r="L386" s="3">
        <f t="shared" ca="1" si="57"/>
        <v>3</v>
      </c>
      <c r="M386" s="13">
        <f t="shared" ca="1" si="58"/>
        <v>0.64336514569440162</v>
      </c>
      <c r="N386">
        <f t="shared" ca="1" si="59"/>
        <v>0.58999999999999964</v>
      </c>
      <c r="O386">
        <f t="shared" ca="1" si="60"/>
        <v>0</v>
      </c>
      <c r="P386">
        <f t="shared" ca="1" si="61"/>
        <v>1</v>
      </c>
      <c r="Q386">
        <f t="shared" ca="1" si="62"/>
        <v>0</v>
      </c>
      <c r="R386">
        <f t="shared" ca="1" si="63"/>
        <v>0</v>
      </c>
      <c r="S386">
        <f t="shared" ca="1" si="64"/>
        <v>2</v>
      </c>
      <c r="T386" s="17">
        <f t="shared" ca="1" si="65"/>
        <v>5.7728571428571431</v>
      </c>
    </row>
    <row r="387" spans="2:20" x14ac:dyDescent="0.3">
      <c r="B387">
        <f t="shared" ca="1" si="56"/>
        <v>49</v>
      </c>
      <c r="C387" cm="1">
        <f t="array" aca="1" ref="C387" ca="1">INDIRECT(ADDRESS(myRAND(1,C$2,C$8:C$9)+5,C$1))</f>
        <v>0</v>
      </c>
      <c r="D387" cm="1">
        <f t="array" aca="1" ref="D387" ca="1">INDIRECT(ADDRESS(myRAND(1,D$2,D$8:D$9)+5,D$1))</f>
        <v>0</v>
      </c>
      <c r="E387" cm="1">
        <f t="array" aca="1" ref="E387" ca="1">INDIRECT(ADDRESS(myRAND(1,E$2,E$8:E$9)+5,E$1))</f>
        <v>1</v>
      </c>
      <c r="F387" cm="1">
        <f t="array" aca="1" ref="F387" ca="1">INDIRECT(ADDRESS(myRAND(1,F$2,F$8:F$9)+5,F$1))</f>
        <v>1</v>
      </c>
      <c r="G387" cm="1">
        <f t="array" aca="1" ref="G387" ca="1">INDIRECT(ADDRESS(myRAND(1,G$2,G$8:G$9)+5,G$1))</f>
        <v>0</v>
      </c>
      <c r="H387" cm="1">
        <f t="array" aca="1" ref="H387" ca="1">INDIRECT(ADDRESS(myRAND(1,H$2,H$8:H$9)+5,H$1))</f>
        <v>1</v>
      </c>
      <c r="I387" cm="1">
        <f t="array" aca="1" ref="I387" ca="1">INDIRECT(ADDRESS(myRAND(1,I$2,I$8:I$9)+5,I$1))</f>
        <v>0</v>
      </c>
      <c r="J387">
        <f t="shared" ca="1" si="55"/>
        <v>18</v>
      </c>
      <c r="K387">
        <f t="shared" ca="1" si="55"/>
        <v>243</v>
      </c>
      <c r="L387" s="3">
        <f t="shared" ca="1" si="57"/>
        <v>3</v>
      </c>
      <c r="M387" s="13">
        <f t="shared" ca="1" si="58"/>
        <v>0.37519352553157065</v>
      </c>
      <c r="N387">
        <f t="shared" ca="1" si="59"/>
        <v>-0.51000000000000023</v>
      </c>
      <c r="O387">
        <f t="shared" ca="1" si="60"/>
        <v>0</v>
      </c>
      <c r="P387">
        <f t="shared" ca="1" si="61"/>
        <v>1</v>
      </c>
      <c r="Q387">
        <f t="shared" ca="1" si="62"/>
        <v>0</v>
      </c>
      <c r="R387">
        <f t="shared" ca="1" si="63"/>
        <v>0</v>
      </c>
      <c r="S387">
        <f t="shared" ca="1" si="64"/>
        <v>1</v>
      </c>
      <c r="T387" s="17">
        <f t="shared" ca="1" si="65"/>
        <v>2.170952380952381</v>
      </c>
    </row>
    <row r="388" spans="2:20" x14ac:dyDescent="0.3">
      <c r="B388">
        <f t="shared" ca="1" si="56"/>
        <v>49</v>
      </c>
      <c r="C388" cm="1">
        <f t="array" aca="1" ref="C388" ca="1">INDIRECT(ADDRESS(myRAND(1,C$2,C$8:C$9)+5,C$1))</f>
        <v>1</v>
      </c>
      <c r="D388" cm="1">
        <f t="array" aca="1" ref="D388" ca="1">INDIRECT(ADDRESS(myRAND(1,D$2,D$8:D$9)+5,D$1))</f>
        <v>0</v>
      </c>
      <c r="E388" cm="1">
        <f t="array" aca="1" ref="E388" ca="1">INDIRECT(ADDRESS(myRAND(1,E$2,E$8:E$9)+5,E$1))</f>
        <v>0</v>
      </c>
      <c r="F388" cm="1">
        <f t="array" aca="1" ref="F388" ca="1">INDIRECT(ADDRESS(myRAND(1,F$2,F$8:F$9)+5,F$1))</f>
        <v>1</v>
      </c>
      <c r="G388" cm="1">
        <f t="array" aca="1" ref="G388" ca="1">INDIRECT(ADDRESS(myRAND(1,G$2,G$8:G$9)+5,G$1))</f>
        <v>0</v>
      </c>
      <c r="H388" cm="1">
        <f t="array" aca="1" ref="H388" ca="1">INDIRECT(ADDRESS(myRAND(1,H$2,H$8:H$9)+5,H$1))</f>
        <v>1</v>
      </c>
      <c r="I388" cm="1">
        <f t="array" aca="1" ref="I388" ca="1">INDIRECT(ADDRESS(myRAND(1,I$2,I$8:I$9)+5,I$1))</f>
        <v>0</v>
      </c>
      <c r="J388">
        <f t="shared" ca="1" si="55"/>
        <v>16</v>
      </c>
      <c r="K388">
        <f t="shared" ca="1" si="55"/>
        <v>231</v>
      </c>
      <c r="L388" s="3">
        <f t="shared" ca="1" si="57"/>
        <v>2</v>
      </c>
      <c r="M388" s="13">
        <f t="shared" ca="1" si="58"/>
        <v>0.25540308417252405</v>
      </c>
      <c r="N388">
        <f t="shared" ca="1" si="59"/>
        <v>-1.07</v>
      </c>
      <c r="O388">
        <f t="shared" ca="1" si="60"/>
        <v>0</v>
      </c>
      <c r="P388">
        <f t="shared" ca="1" si="61"/>
        <v>0</v>
      </c>
      <c r="Q388">
        <f t="shared" ca="1" si="62"/>
        <v>1</v>
      </c>
      <c r="R388">
        <f t="shared" ca="1" si="63"/>
        <v>0</v>
      </c>
      <c r="S388">
        <f t="shared" ca="1" si="64"/>
        <v>1</v>
      </c>
      <c r="T388" s="17">
        <f t="shared" ca="1" si="65"/>
        <v>2.9804761904761907</v>
      </c>
    </row>
    <row r="389" spans="2:20" x14ac:dyDescent="0.3">
      <c r="B389">
        <f t="shared" ca="1" si="56"/>
        <v>61</v>
      </c>
      <c r="C389" cm="1">
        <f t="array" aca="1" ref="C389" ca="1">INDIRECT(ADDRESS(myRAND(1,C$2,C$8:C$9)+5,C$1))</f>
        <v>1</v>
      </c>
      <c r="D389" cm="1">
        <f t="array" aca="1" ref="D389" ca="1">INDIRECT(ADDRESS(myRAND(1,D$2,D$8:D$9)+5,D$1))</f>
        <v>1</v>
      </c>
      <c r="E389" cm="1">
        <f t="array" aca="1" ref="E389" ca="1">INDIRECT(ADDRESS(myRAND(1,E$2,E$8:E$9)+5,E$1))</f>
        <v>0</v>
      </c>
      <c r="F389" cm="1">
        <f t="array" aca="1" ref="F389" ca="1">INDIRECT(ADDRESS(myRAND(1,F$2,F$8:F$9)+5,F$1))</f>
        <v>1</v>
      </c>
      <c r="G389" cm="1">
        <f t="array" aca="1" ref="G389" ca="1">INDIRECT(ADDRESS(myRAND(1,G$2,G$8:G$9)+5,G$1))</f>
        <v>0</v>
      </c>
      <c r="H389" cm="1">
        <f t="array" aca="1" ref="H389" ca="1">INDIRECT(ADDRESS(myRAND(1,H$2,H$8:H$9)+5,H$1))</f>
        <v>0</v>
      </c>
      <c r="I389" cm="1">
        <f t="array" aca="1" ref="I389" ca="1">INDIRECT(ADDRESS(myRAND(1,I$2,I$8:I$9)+5,I$1))</f>
        <v>1</v>
      </c>
      <c r="J389">
        <f t="shared" ca="1" si="55"/>
        <v>11</v>
      </c>
      <c r="K389">
        <f t="shared" ca="1" si="55"/>
        <v>169</v>
      </c>
      <c r="L389" s="3">
        <f t="shared" ca="1" si="57"/>
        <v>3</v>
      </c>
      <c r="M389" s="13">
        <f t="shared" ca="1" si="58"/>
        <v>0.78751315587746085</v>
      </c>
      <c r="N389">
        <f t="shared" ca="1" si="59"/>
        <v>1.3099999999999998</v>
      </c>
      <c r="O389">
        <f t="shared" ca="1" si="60"/>
        <v>0</v>
      </c>
      <c r="P389">
        <f t="shared" ca="1" si="61"/>
        <v>1</v>
      </c>
      <c r="Q389">
        <f t="shared" ca="1" si="62"/>
        <v>0</v>
      </c>
      <c r="R389">
        <f t="shared" ca="1" si="63"/>
        <v>0</v>
      </c>
      <c r="S389">
        <f t="shared" ca="1" si="64"/>
        <v>1</v>
      </c>
      <c r="T389" s="17">
        <f t="shared" ca="1" si="65"/>
        <v>5.4719047619047618</v>
      </c>
    </row>
    <row r="390" spans="2:20" x14ac:dyDescent="0.3">
      <c r="B390">
        <f t="shared" ca="1" si="56"/>
        <v>52</v>
      </c>
      <c r="C390" cm="1">
        <f t="array" aca="1" ref="C390" ca="1">INDIRECT(ADDRESS(myRAND(1,C$2,C$8:C$9)+5,C$1))</f>
        <v>1</v>
      </c>
      <c r="D390" cm="1">
        <f t="array" aca="1" ref="D390" ca="1">INDIRECT(ADDRESS(myRAND(1,D$2,D$8:D$9)+5,D$1))</f>
        <v>1</v>
      </c>
      <c r="E390" cm="1">
        <f t="array" aca="1" ref="E390" ca="1">INDIRECT(ADDRESS(myRAND(1,E$2,E$8:E$9)+5,E$1))</f>
        <v>1</v>
      </c>
      <c r="F390" cm="1">
        <f t="array" aca="1" ref="F390" ca="1">INDIRECT(ADDRESS(myRAND(1,F$2,F$8:F$9)+5,F$1))</f>
        <v>1</v>
      </c>
      <c r="G390" cm="1">
        <f t="array" aca="1" ref="G390" ca="1">INDIRECT(ADDRESS(myRAND(1,G$2,G$8:G$9)+5,G$1))</f>
        <v>1</v>
      </c>
      <c r="H390" cm="1">
        <f t="array" aca="1" ref="H390" ca="1">INDIRECT(ADDRESS(myRAND(1,H$2,H$8:H$9)+5,H$1))</f>
        <v>0</v>
      </c>
      <c r="I390" cm="1">
        <f t="array" aca="1" ref="I390" ca="1">INDIRECT(ADDRESS(myRAND(1,I$2,I$8:I$9)+5,I$1))</f>
        <v>1</v>
      </c>
      <c r="J390">
        <f t="shared" ca="1" si="55"/>
        <v>13</v>
      </c>
      <c r="K390">
        <f t="shared" ca="1" si="55"/>
        <v>215</v>
      </c>
      <c r="L390" s="3">
        <f t="shared" ca="1" si="57"/>
        <v>2</v>
      </c>
      <c r="M390" s="13">
        <f t="shared" ca="1" si="58"/>
        <v>0.42311473886795364</v>
      </c>
      <c r="N390">
        <f t="shared" ca="1" si="59"/>
        <v>-0.30999999999999994</v>
      </c>
      <c r="O390">
        <f t="shared" ca="1" si="60"/>
        <v>1</v>
      </c>
      <c r="P390">
        <f t="shared" ca="1" si="61"/>
        <v>0</v>
      </c>
      <c r="Q390">
        <f t="shared" ca="1" si="62"/>
        <v>0</v>
      </c>
      <c r="R390">
        <f t="shared" ca="1" si="63"/>
        <v>0</v>
      </c>
      <c r="S390">
        <f t="shared" ca="1" si="64"/>
        <v>2</v>
      </c>
      <c r="T390" s="17">
        <f t="shared" ca="1" si="65"/>
        <v>5.7342857142857149</v>
      </c>
    </row>
    <row r="391" spans="2:20" x14ac:dyDescent="0.3">
      <c r="B391">
        <f t="shared" ca="1" si="56"/>
        <v>33</v>
      </c>
      <c r="C391" cm="1">
        <f t="array" aca="1" ref="C391" ca="1">INDIRECT(ADDRESS(myRAND(1,C$2,C$8:C$9)+5,C$1))</f>
        <v>1</v>
      </c>
      <c r="D391" cm="1">
        <f t="array" aca="1" ref="D391" ca="1">INDIRECT(ADDRESS(myRAND(1,D$2,D$8:D$9)+5,D$1))</f>
        <v>1</v>
      </c>
      <c r="E391" cm="1">
        <f t="array" aca="1" ref="E391" ca="1">INDIRECT(ADDRESS(myRAND(1,E$2,E$8:E$9)+5,E$1))</f>
        <v>1</v>
      </c>
      <c r="F391" cm="1">
        <f t="array" aca="1" ref="F391" ca="1">INDIRECT(ADDRESS(myRAND(1,F$2,F$8:F$9)+5,F$1))</f>
        <v>1</v>
      </c>
      <c r="G391" cm="1">
        <f t="array" aca="1" ref="G391" ca="1">INDIRECT(ADDRESS(myRAND(1,G$2,G$8:G$9)+5,G$1))</f>
        <v>0</v>
      </c>
      <c r="H391" cm="1">
        <f t="array" aca="1" ref="H391" ca="1">INDIRECT(ADDRESS(myRAND(1,H$2,H$8:H$9)+5,H$1))</f>
        <v>1</v>
      </c>
      <c r="I391" cm="1">
        <f t="array" aca="1" ref="I391" ca="1">INDIRECT(ADDRESS(myRAND(1,I$2,I$8:I$9)+5,I$1))</f>
        <v>0</v>
      </c>
      <c r="J391">
        <f t="shared" ca="1" si="55"/>
        <v>12</v>
      </c>
      <c r="K391">
        <f t="shared" ca="1" si="55"/>
        <v>217</v>
      </c>
      <c r="L391" s="3">
        <f t="shared" ca="1" si="57"/>
        <v>2</v>
      </c>
      <c r="M391" s="13">
        <f t="shared" ca="1" si="58"/>
        <v>0.25540308417252405</v>
      </c>
      <c r="N391">
        <f t="shared" ca="1" si="59"/>
        <v>-1.0699999999999998</v>
      </c>
      <c r="O391">
        <f t="shared" ca="1" si="60"/>
        <v>1</v>
      </c>
      <c r="P391">
        <f t="shared" ca="1" si="61"/>
        <v>0</v>
      </c>
      <c r="Q391">
        <f t="shared" ca="1" si="62"/>
        <v>0</v>
      </c>
      <c r="R391">
        <f t="shared" ca="1" si="63"/>
        <v>0</v>
      </c>
      <c r="S391">
        <f t="shared" ca="1" si="64"/>
        <v>1</v>
      </c>
      <c r="T391" s="17">
        <f t="shared" ca="1" si="65"/>
        <v>2.4871428571428571</v>
      </c>
    </row>
    <row r="392" spans="2:20" x14ac:dyDescent="0.3">
      <c r="B392">
        <f t="shared" ca="1" si="56"/>
        <v>55</v>
      </c>
      <c r="C392" cm="1">
        <f t="array" aca="1" ref="C392" ca="1">INDIRECT(ADDRESS(myRAND(1,C$2,C$8:C$9)+5,C$1))</f>
        <v>0</v>
      </c>
      <c r="D392" cm="1">
        <f t="array" aca="1" ref="D392" ca="1">INDIRECT(ADDRESS(myRAND(1,D$2,D$8:D$9)+5,D$1))</f>
        <v>0</v>
      </c>
      <c r="E392" cm="1">
        <f t="array" aca="1" ref="E392" ca="1">INDIRECT(ADDRESS(myRAND(1,E$2,E$8:E$9)+5,E$1))</f>
        <v>1</v>
      </c>
      <c r="F392" cm="1">
        <f t="array" aca="1" ref="F392" ca="1">INDIRECT(ADDRESS(myRAND(1,F$2,F$8:F$9)+5,F$1))</f>
        <v>1</v>
      </c>
      <c r="G392" cm="1">
        <f t="array" aca="1" ref="G392" ca="1">INDIRECT(ADDRESS(myRAND(1,G$2,G$8:G$9)+5,G$1))</f>
        <v>0</v>
      </c>
      <c r="H392" cm="1">
        <f t="array" aca="1" ref="H392" ca="1">INDIRECT(ADDRESS(myRAND(1,H$2,H$8:H$9)+5,H$1))</f>
        <v>0</v>
      </c>
      <c r="I392" cm="1">
        <f t="array" aca="1" ref="I392" ca="1">INDIRECT(ADDRESS(myRAND(1,I$2,I$8:I$9)+5,I$1))</f>
        <v>1</v>
      </c>
      <c r="J392">
        <f t="shared" ca="1" si="55"/>
        <v>22</v>
      </c>
      <c r="K392">
        <f t="shared" ca="1" si="55"/>
        <v>215</v>
      </c>
      <c r="L392" s="3">
        <f t="shared" ca="1" si="57"/>
        <v>3</v>
      </c>
      <c r="M392" s="13">
        <f t="shared" ca="1" si="58"/>
        <v>0.43290709503454572</v>
      </c>
      <c r="N392">
        <f t="shared" ca="1" si="59"/>
        <v>-0.27</v>
      </c>
      <c r="O392">
        <f t="shared" ca="1" si="60"/>
        <v>0</v>
      </c>
      <c r="P392">
        <f t="shared" ca="1" si="61"/>
        <v>1</v>
      </c>
      <c r="Q392">
        <f t="shared" ca="1" si="62"/>
        <v>0</v>
      </c>
      <c r="R392">
        <f t="shared" ca="1" si="63"/>
        <v>0</v>
      </c>
      <c r="S392">
        <f t="shared" ca="1" si="64"/>
        <v>1</v>
      </c>
      <c r="T392" s="17">
        <f t="shared" ca="1" si="65"/>
        <v>5.3642857142857139</v>
      </c>
    </row>
    <row r="393" spans="2:20" x14ac:dyDescent="0.3">
      <c r="B393">
        <f t="shared" ca="1" si="56"/>
        <v>34</v>
      </c>
      <c r="C393" cm="1">
        <f t="array" aca="1" ref="C393" ca="1">INDIRECT(ADDRESS(myRAND(1,C$2,C$8:C$9)+5,C$1))</f>
        <v>1</v>
      </c>
      <c r="D393" cm="1">
        <f t="array" aca="1" ref="D393" ca="1">INDIRECT(ADDRESS(myRAND(1,D$2,D$8:D$9)+5,D$1))</f>
        <v>0</v>
      </c>
      <c r="E393" cm="1">
        <f t="array" aca="1" ref="E393" ca="1">INDIRECT(ADDRESS(myRAND(1,E$2,E$8:E$9)+5,E$1))</f>
        <v>1</v>
      </c>
      <c r="F393" cm="1">
        <f t="array" aca="1" ref="F393" ca="1">INDIRECT(ADDRESS(myRAND(1,F$2,F$8:F$9)+5,F$1))</f>
        <v>1</v>
      </c>
      <c r="G393" cm="1">
        <f t="array" aca="1" ref="G393" ca="1">INDIRECT(ADDRESS(myRAND(1,G$2,G$8:G$9)+5,G$1))</f>
        <v>1</v>
      </c>
      <c r="H393" cm="1">
        <f t="array" aca="1" ref="H393" ca="1">INDIRECT(ADDRESS(myRAND(1,H$2,H$8:H$9)+5,H$1))</f>
        <v>1</v>
      </c>
      <c r="I393" cm="1">
        <f t="array" aca="1" ref="I393" ca="1">INDIRECT(ADDRESS(myRAND(1,I$2,I$8:I$9)+5,I$1))</f>
        <v>0</v>
      </c>
      <c r="J393">
        <f t="shared" ca="1" si="55"/>
        <v>12</v>
      </c>
      <c r="K393">
        <f t="shared" ca="1" si="55"/>
        <v>221</v>
      </c>
      <c r="L393" s="3">
        <f t="shared" ca="1" si="57"/>
        <v>2</v>
      </c>
      <c r="M393" s="13">
        <f t="shared" ca="1" si="58"/>
        <v>0.55724785459855564</v>
      </c>
      <c r="N393">
        <f t="shared" ca="1" si="59"/>
        <v>0.2300000000000002</v>
      </c>
      <c r="O393">
        <f t="shared" ca="1" si="60"/>
        <v>0</v>
      </c>
      <c r="P393">
        <f t="shared" ca="1" si="61"/>
        <v>1</v>
      </c>
      <c r="Q393">
        <f t="shared" ca="1" si="62"/>
        <v>0</v>
      </c>
      <c r="R393">
        <f t="shared" ca="1" si="63"/>
        <v>0</v>
      </c>
      <c r="S393">
        <f t="shared" ca="1" si="64"/>
        <v>2</v>
      </c>
      <c r="T393" s="17">
        <f t="shared" ca="1" si="65"/>
        <v>2.5161904761904763</v>
      </c>
    </row>
    <row r="394" spans="2:20" x14ac:dyDescent="0.3">
      <c r="B394">
        <f t="shared" ca="1" si="56"/>
        <v>51</v>
      </c>
      <c r="C394" cm="1">
        <f t="array" aca="1" ref="C394" ca="1">INDIRECT(ADDRESS(myRAND(1,C$2,C$8:C$9)+5,C$1))</f>
        <v>0</v>
      </c>
      <c r="D394" cm="1">
        <f t="array" aca="1" ref="D394" ca="1">INDIRECT(ADDRESS(myRAND(1,D$2,D$8:D$9)+5,D$1))</f>
        <v>0</v>
      </c>
      <c r="E394" cm="1">
        <f t="array" aca="1" ref="E394" ca="1">INDIRECT(ADDRESS(myRAND(1,E$2,E$8:E$9)+5,E$1))</f>
        <v>0</v>
      </c>
      <c r="F394" cm="1">
        <f t="array" aca="1" ref="F394" ca="1">INDIRECT(ADDRESS(myRAND(1,F$2,F$8:F$9)+5,F$1))</f>
        <v>0</v>
      </c>
      <c r="G394" cm="1">
        <f t="array" aca="1" ref="G394" ca="1">INDIRECT(ADDRESS(myRAND(1,G$2,G$8:G$9)+5,G$1))</f>
        <v>0</v>
      </c>
      <c r="H394" cm="1">
        <f t="array" aca="1" ref="H394" ca="1">INDIRECT(ADDRESS(myRAND(1,H$2,H$8:H$9)+5,H$1))</f>
        <v>1</v>
      </c>
      <c r="I394" cm="1">
        <f t="array" aca="1" ref="I394" ca="1">INDIRECT(ADDRESS(myRAND(1,I$2,I$8:I$9)+5,I$1))</f>
        <v>1</v>
      </c>
      <c r="J394">
        <f t="shared" ca="1" si="55"/>
        <v>14</v>
      </c>
      <c r="K394">
        <f t="shared" ca="1" si="55"/>
        <v>207</v>
      </c>
      <c r="L394" s="3">
        <f t="shared" ca="1" si="57"/>
        <v>3</v>
      </c>
      <c r="M394" s="13">
        <f t="shared" ca="1" si="58"/>
        <v>8.8668663254733285E-2</v>
      </c>
      <c r="N394">
        <f t="shared" ca="1" si="59"/>
        <v>-2.33</v>
      </c>
      <c r="O394">
        <f t="shared" ca="1" si="60"/>
        <v>0</v>
      </c>
      <c r="P394">
        <f t="shared" ca="1" si="61"/>
        <v>0</v>
      </c>
      <c r="Q394">
        <f t="shared" ca="1" si="62"/>
        <v>0</v>
      </c>
      <c r="R394">
        <f t="shared" ca="1" si="63"/>
        <v>1</v>
      </c>
      <c r="S394">
        <f t="shared" ca="1" si="64"/>
        <v>2</v>
      </c>
      <c r="T394" s="17">
        <f t="shared" ca="1" si="65"/>
        <v>4.7528571428571427</v>
      </c>
    </row>
    <row r="395" spans="2:20" x14ac:dyDescent="0.3">
      <c r="B395">
        <f t="shared" ca="1" si="56"/>
        <v>41</v>
      </c>
      <c r="C395" cm="1">
        <f t="array" aca="1" ref="C395" ca="1">INDIRECT(ADDRESS(myRAND(1,C$2,C$8:C$9)+5,C$1))</f>
        <v>1</v>
      </c>
      <c r="D395" cm="1">
        <f t="array" aca="1" ref="D395" ca="1">INDIRECT(ADDRESS(myRAND(1,D$2,D$8:D$9)+5,D$1))</f>
        <v>0</v>
      </c>
      <c r="E395" cm="1">
        <f t="array" aca="1" ref="E395" ca="1">INDIRECT(ADDRESS(myRAND(1,E$2,E$8:E$9)+5,E$1))</f>
        <v>1</v>
      </c>
      <c r="F395" cm="1">
        <f t="array" aca="1" ref="F395" ca="1">INDIRECT(ADDRESS(myRAND(1,F$2,F$8:F$9)+5,F$1))</f>
        <v>1</v>
      </c>
      <c r="G395" cm="1">
        <f t="array" aca="1" ref="G395" ca="1">INDIRECT(ADDRESS(myRAND(1,G$2,G$8:G$9)+5,G$1))</f>
        <v>0</v>
      </c>
      <c r="H395" cm="1">
        <f t="array" aca="1" ref="H395" ca="1">INDIRECT(ADDRESS(myRAND(1,H$2,H$8:H$9)+5,H$1))</f>
        <v>0</v>
      </c>
      <c r="I395" cm="1">
        <f t="array" aca="1" ref="I395" ca="1">INDIRECT(ADDRESS(myRAND(1,I$2,I$8:I$9)+5,I$1))</f>
        <v>0</v>
      </c>
      <c r="J395">
        <f t="shared" ca="1" si="55"/>
        <v>19</v>
      </c>
      <c r="K395">
        <f t="shared" ca="1" si="55"/>
        <v>220</v>
      </c>
      <c r="L395" s="3">
        <f t="shared" ca="1" si="57"/>
        <v>3</v>
      </c>
      <c r="M395" s="13">
        <f t="shared" ca="1" si="58"/>
        <v>0.6248064744684293</v>
      </c>
      <c r="N395">
        <f t="shared" ca="1" si="59"/>
        <v>0.51</v>
      </c>
      <c r="O395">
        <f t="shared" ca="1" si="60"/>
        <v>0</v>
      </c>
      <c r="P395">
        <f t="shared" ca="1" si="61"/>
        <v>1</v>
      </c>
      <c r="Q395">
        <f t="shared" ca="1" si="62"/>
        <v>0</v>
      </c>
      <c r="R395">
        <f t="shared" ca="1" si="63"/>
        <v>0</v>
      </c>
      <c r="S395">
        <f t="shared" ca="1" si="64"/>
        <v>0</v>
      </c>
      <c r="T395" s="17">
        <f t="shared" ca="1" si="65"/>
        <v>3.0480952380952377</v>
      </c>
    </row>
    <row r="396" spans="2:20" x14ac:dyDescent="0.3">
      <c r="B396">
        <f t="shared" ca="1" si="56"/>
        <v>44</v>
      </c>
      <c r="C396" cm="1">
        <f t="array" aca="1" ref="C396" ca="1">INDIRECT(ADDRESS(myRAND(1,C$2,C$8:C$9)+5,C$1))</f>
        <v>0</v>
      </c>
      <c r="D396" cm="1">
        <f t="array" aca="1" ref="D396" ca="1">INDIRECT(ADDRESS(myRAND(1,D$2,D$8:D$9)+5,D$1))</f>
        <v>0</v>
      </c>
      <c r="E396" cm="1">
        <f t="array" aca="1" ref="E396" ca="1">INDIRECT(ADDRESS(myRAND(1,E$2,E$8:E$9)+5,E$1))</f>
        <v>0</v>
      </c>
      <c r="F396" cm="1">
        <f t="array" aca="1" ref="F396" ca="1">INDIRECT(ADDRESS(myRAND(1,F$2,F$8:F$9)+5,F$1))</f>
        <v>0</v>
      </c>
      <c r="G396" cm="1">
        <f t="array" aca="1" ref="G396" ca="1">INDIRECT(ADDRESS(myRAND(1,G$2,G$8:G$9)+5,G$1))</f>
        <v>0</v>
      </c>
      <c r="H396" cm="1">
        <f t="array" aca="1" ref="H396" ca="1">INDIRECT(ADDRESS(myRAND(1,H$2,H$8:H$9)+5,H$1))</f>
        <v>0</v>
      </c>
      <c r="I396" cm="1">
        <f t="array" aca="1" ref="I396" ca="1">INDIRECT(ADDRESS(myRAND(1,I$2,I$8:I$9)+5,I$1))</f>
        <v>0</v>
      </c>
      <c r="J396">
        <f t="shared" ca="1" si="55"/>
        <v>17</v>
      </c>
      <c r="K396">
        <f t="shared" ca="1" si="55"/>
        <v>222</v>
      </c>
      <c r="L396" s="3">
        <f t="shared" ca="1" si="57"/>
        <v>1</v>
      </c>
      <c r="M396" s="13">
        <f t="shared" ca="1" si="58"/>
        <v>6.8497603724326075E-2</v>
      </c>
      <c r="N396">
        <f t="shared" ca="1" si="59"/>
        <v>-2.6100000000000003</v>
      </c>
      <c r="O396">
        <f t="shared" ca="1" si="60"/>
        <v>0</v>
      </c>
      <c r="P396">
        <f t="shared" ca="1" si="61"/>
        <v>0</v>
      </c>
      <c r="Q396">
        <f t="shared" ca="1" si="62"/>
        <v>0</v>
      </c>
      <c r="R396">
        <f t="shared" ca="1" si="63"/>
        <v>1</v>
      </c>
      <c r="S396">
        <f t="shared" ca="1" si="64"/>
        <v>0</v>
      </c>
      <c r="T396" s="17">
        <f t="shared" ca="1" si="65"/>
        <v>1.9542857142857142</v>
      </c>
    </row>
    <row r="397" spans="2:20" x14ac:dyDescent="0.3">
      <c r="B397">
        <f t="shared" ca="1" si="56"/>
        <v>35</v>
      </c>
      <c r="C397" cm="1">
        <f t="array" aca="1" ref="C397" ca="1">INDIRECT(ADDRESS(myRAND(1,C$2,C$8:C$9)+5,C$1))</f>
        <v>0</v>
      </c>
      <c r="D397" cm="1">
        <f t="array" aca="1" ref="D397" ca="1">INDIRECT(ADDRESS(myRAND(1,D$2,D$8:D$9)+5,D$1))</f>
        <v>1</v>
      </c>
      <c r="E397" cm="1">
        <f t="array" aca="1" ref="E397" ca="1">INDIRECT(ADDRESS(myRAND(1,E$2,E$8:E$9)+5,E$1))</f>
        <v>1</v>
      </c>
      <c r="F397" cm="1">
        <f t="array" aca="1" ref="F397" ca="1">INDIRECT(ADDRESS(myRAND(1,F$2,F$8:F$9)+5,F$1))</f>
        <v>1</v>
      </c>
      <c r="G397" cm="1">
        <f t="array" aca="1" ref="G397" ca="1">INDIRECT(ADDRESS(myRAND(1,G$2,G$8:G$9)+5,G$1))</f>
        <v>0</v>
      </c>
      <c r="H397" cm="1">
        <f t="array" aca="1" ref="H397" ca="1">INDIRECT(ADDRESS(myRAND(1,H$2,H$8:H$9)+5,H$1))</f>
        <v>1</v>
      </c>
      <c r="I397" cm="1">
        <f t="array" aca="1" ref="I397" ca="1">INDIRECT(ADDRESS(myRAND(1,I$2,I$8:I$9)+5,I$1))</f>
        <v>1</v>
      </c>
      <c r="J397">
        <f t="shared" ca="1" si="55"/>
        <v>23</v>
      </c>
      <c r="K397">
        <f t="shared" ca="1" si="55"/>
        <v>190</v>
      </c>
      <c r="L397" s="3">
        <f t="shared" ca="1" si="57"/>
        <v>1</v>
      </c>
      <c r="M397" s="13">
        <f t="shared" ca="1" si="58"/>
        <v>8.8668663254733313E-2</v>
      </c>
      <c r="N397">
        <f t="shared" ca="1" si="59"/>
        <v>-2.3299999999999996</v>
      </c>
      <c r="O397">
        <f t="shared" ca="1" si="60"/>
        <v>1</v>
      </c>
      <c r="P397">
        <f t="shared" ca="1" si="61"/>
        <v>0</v>
      </c>
      <c r="Q397">
        <f t="shared" ca="1" si="62"/>
        <v>0</v>
      </c>
      <c r="R397">
        <f t="shared" ca="1" si="63"/>
        <v>0</v>
      </c>
      <c r="S397">
        <f t="shared" ca="1" si="64"/>
        <v>2</v>
      </c>
      <c r="T397" s="17">
        <f t="shared" ca="1" si="65"/>
        <v>5.1119047619047624</v>
      </c>
    </row>
    <row r="398" spans="2:20" x14ac:dyDescent="0.3">
      <c r="B398">
        <f t="shared" ca="1" si="56"/>
        <v>36</v>
      </c>
      <c r="C398" cm="1">
        <f t="array" aca="1" ref="C398" ca="1">INDIRECT(ADDRESS(myRAND(1,C$2,C$8:C$9)+5,C$1))</f>
        <v>1</v>
      </c>
      <c r="D398" cm="1">
        <f t="array" aca="1" ref="D398" ca="1">INDIRECT(ADDRESS(myRAND(1,D$2,D$8:D$9)+5,D$1))</f>
        <v>1</v>
      </c>
      <c r="E398" cm="1">
        <f t="array" aca="1" ref="E398" ca="1">INDIRECT(ADDRESS(myRAND(1,E$2,E$8:E$9)+5,E$1))</f>
        <v>0</v>
      </c>
      <c r="F398" cm="1">
        <f t="array" aca="1" ref="F398" ca="1">INDIRECT(ADDRESS(myRAND(1,F$2,F$8:F$9)+5,F$1))</f>
        <v>0</v>
      </c>
      <c r="G398" cm="1">
        <f t="array" aca="1" ref="G398" ca="1">INDIRECT(ADDRESS(myRAND(1,G$2,G$8:G$9)+5,G$1))</f>
        <v>0</v>
      </c>
      <c r="H398" cm="1">
        <f t="array" aca="1" ref="H398" ca="1">INDIRECT(ADDRESS(myRAND(1,H$2,H$8:H$9)+5,H$1))</f>
        <v>1</v>
      </c>
      <c r="I398" cm="1">
        <f t="array" aca="1" ref="I398" ca="1">INDIRECT(ADDRESS(myRAND(1,I$2,I$8:I$9)+5,I$1))</f>
        <v>0</v>
      </c>
      <c r="J398">
        <f t="shared" ca="1" si="55"/>
        <v>15</v>
      </c>
      <c r="K398">
        <f t="shared" ca="1" si="55"/>
        <v>218</v>
      </c>
      <c r="L398" s="3">
        <f t="shared" ca="1" si="57"/>
        <v>3</v>
      </c>
      <c r="M398" s="13">
        <f t="shared" ca="1" si="58"/>
        <v>0.1693838969340187</v>
      </c>
      <c r="N398">
        <f t="shared" ca="1" si="59"/>
        <v>-1.59</v>
      </c>
      <c r="O398">
        <f t="shared" ca="1" si="60"/>
        <v>0</v>
      </c>
      <c r="P398">
        <f t="shared" ca="1" si="61"/>
        <v>0</v>
      </c>
      <c r="Q398">
        <f t="shared" ca="1" si="62"/>
        <v>1</v>
      </c>
      <c r="R398">
        <f t="shared" ca="1" si="63"/>
        <v>0</v>
      </c>
      <c r="S398">
        <f t="shared" ca="1" si="64"/>
        <v>1</v>
      </c>
      <c r="T398" s="17">
        <f t="shared" ca="1" si="65"/>
        <v>2.7219047619047618</v>
      </c>
    </row>
    <row r="399" spans="2:20" x14ac:dyDescent="0.3">
      <c r="B399">
        <f t="shared" ca="1" si="56"/>
        <v>58</v>
      </c>
      <c r="C399" cm="1">
        <f t="array" aca="1" ref="C399" ca="1">INDIRECT(ADDRESS(myRAND(1,C$2,C$8:C$9)+5,C$1))</f>
        <v>0</v>
      </c>
      <c r="D399" cm="1">
        <f t="array" aca="1" ref="D399" ca="1">INDIRECT(ADDRESS(myRAND(1,D$2,D$8:D$9)+5,D$1))</f>
        <v>0</v>
      </c>
      <c r="E399" cm="1">
        <f t="array" aca="1" ref="E399" ca="1">INDIRECT(ADDRESS(myRAND(1,E$2,E$8:E$9)+5,E$1))</f>
        <v>1</v>
      </c>
      <c r="F399" cm="1">
        <f t="array" aca="1" ref="F399" ca="1">INDIRECT(ADDRESS(myRAND(1,F$2,F$8:F$9)+5,F$1))</f>
        <v>0</v>
      </c>
      <c r="G399" cm="1">
        <f t="array" aca="1" ref="G399" ca="1">INDIRECT(ADDRESS(myRAND(1,G$2,G$8:G$9)+5,G$1))</f>
        <v>0</v>
      </c>
      <c r="H399" cm="1">
        <f t="array" aca="1" ref="H399" ca="1">INDIRECT(ADDRESS(myRAND(1,H$2,H$8:H$9)+5,H$1))</f>
        <v>0</v>
      </c>
      <c r="I399" cm="1">
        <f t="array" aca="1" ref="I399" ca="1">INDIRECT(ADDRESS(myRAND(1,I$2,I$8:I$9)+5,I$1))</f>
        <v>1</v>
      </c>
      <c r="J399">
        <f t="shared" ca="1" si="55"/>
        <v>17</v>
      </c>
      <c r="K399">
        <f t="shared" ca="1" si="55"/>
        <v>222</v>
      </c>
      <c r="L399" s="3">
        <f t="shared" ca="1" si="57"/>
        <v>1</v>
      </c>
      <c r="M399" s="13">
        <f t="shared" ca="1" si="58"/>
        <v>0.11405238127979084</v>
      </c>
      <c r="N399">
        <f t="shared" ca="1" si="59"/>
        <v>-2.0500000000000003</v>
      </c>
      <c r="O399">
        <f t="shared" ca="1" si="60"/>
        <v>0</v>
      </c>
      <c r="P399">
        <f t="shared" ca="1" si="61"/>
        <v>0</v>
      </c>
      <c r="Q399">
        <f t="shared" ca="1" si="62"/>
        <v>1</v>
      </c>
      <c r="R399">
        <f t="shared" ca="1" si="63"/>
        <v>0</v>
      </c>
      <c r="S399">
        <f t="shared" ca="1" si="64"/>
        <v>1</v>
      </c>
      <c r="T399" s="17">
        <f t="shared" ca="1" si="65"/>
        <v>5.0942857142857143</v>
      </c>
    </row>
    <row r="400" spans="2:20" x14ac:dyDescent="0.3">
      <c r="B400">
        <f t="shared" ca="1" si="56"/>
        <v>67</v>
      </c>
      <c r="C400" cm="1">
        <f t="array" aca="1" ref="C400" ca="1">INDIRECT(ADDRESS(myRAND(1,C$2,C$8:C$9)+5,C$1))</f>
        <v>1</v>
      </c>
      <c r="D400" cm="1">
        <f t="array" aca="1" ref="D400" ca="1">INDIRECT(ADDRESS(myRAND(1,D$2,D$8:D$9)+5,D$1))</f>
        <v>0</v>
      </c>
      <c r="E400" cm="1">
        <f t="array" aca="1" ref="E400" ca="1">INDIRECT(ADDRESS(myRAND(1,E$2,E$8:E$9)+5,E$1))</f>
        <v>1</v>
      </c>
      <c r="F400" cm="1">
        <f t="array" aca="1" ref="F400" ca="1">INDIRECT(ADDRESS(myRAND(1,F$2,F$8:F$9)+5,F$1))</f>
        <v>1</v>
      </c>
      <c r="G400" cm="1">
        <f t="array" aca="1" ref="G400" ca="1">INDIRECT(ADDRESS(myRAND(1,G$2,G$8:G$9)+5,G$1))</f>
        <v>1</v>
      </c>
      <c r="H400" cm="1">
        <f t="array" aca="1" ref="H400" ca="1">INDIRECT(ADDRESS(myRAND(1,H$2,H$8:H$9)+5,H$1))</f>
        <v>1</v>
      </c>
      <c r="I400" cm="1">
        <f t="array" aca="1" ref="I400" ca="1">INDIRECT(ADDRESS(myRAND(1,I$2,I$8:I$9)+5,I$1))</f>
        <v>1</v>
      </c>
      <c r="J400">
        <f t="shared" ref="J400:K463" ca="1" si="66">IF(ROUND(NORMINV(RAND(),J$6,J$7),0)&lt;J$8,J$8,ROUND(NORMINV(RAND(),J$6,J$7),0))</f>
        <v>16</v>
      </c>
      <c r="K400">
        <f t="shared" ca="1" si="66"/>
        <v>202</v>
      </c>
      <c r="L400" s="3">
        <f t="shared" ca="1" si="57"/>
        <v>3</v>
      </c>
      <c r="M400" s="13">
        <f t="shared" ca="1" si="58"/>
        <v>0.82491373183596017</v>
      </c>
      <c r="N400">
        <f t="shared" ca="1" si="59"/>
        <v>1.55</v>
      </c>
      <c r="O400">
        <f t="shared" ca="1" si="60"/>
        <v>0</v>
      </c>
      <c r="P400">
        <f t="shared" ca="1" si="61"/>
        <v>1</v>
      </c>
      <c r="Q400">
        <f t="shared" ca="1" si="62"/>
        <v>0</v>
      </c>
      <c r="R400">
        <f t="shared" ca="1" si="63"/>
        <v>0</v>
      </c>
      <c r="S400">
        <f t="shared" ca="1" si="64"/>
        <v>3</v>
      </c>
      <c r="T400" s="17">
        <f t="shared" ca="1" si="65"/>
        <v>6.0223809523809528</v>
      </c>
    </row>
    <row r="401" spans="2:20" x14ac:dyDescent="0.3">
      <c r="B401">
        <f t="shared" ref="B401:B464" ca="1" si="67">IF(ROUND(NORMINV(RAND(),B$6,B$7),0)&lt;B$8,B$8,ROUND(NORMINV(RAND(),B$6,B$7),0))</f>
        <v>53</v>
      </c>
      <c r="C401" cm="1">
        <f t="array" aca="1" ref="C401" ca="1">INDIRECT(ADDRESS(myRAND(1,C$2,C$8:C$9)+5,C$1))</f>
        <v>0</v>
      </c>
      <c r="D401" cm="1">
        <f t="array" aca="1" ref="D401" ca="1">INDIRECT(ADDRESS(myRAND(1,D$2,D$8:D$9)+5,D$1))</f>
        <v>1</v>
      </c>
      <c r="E401" cm="1">
        <f t="array" aca="1" ref="E401" ca="1">INDIRECT(ADDRESS(myRAND(1,E$2,E$8:E$9)+5,E$1))</f>
        <v>1</v>
      </c>
      <c r="F401" cm="1">
        <f t="array" aca="1" ref="F401" ca="1">INDIRECT(ADDRESS(myRAND(1,F$2,F$8:F$9)+5,F$1))</f>
        <v>0</v>
      </c>
      <c r="G401" cm="1">
        <f t="array" aca="1" ref="G401" ca="1">INDIRECT(ADDRESS(myRAND(1,G$2,G$8:G$9)+5,G$1))</f>
        <v>0</v>
      </c>
      <c r="H401" cm="1">
        <f t="array" aca="1" ref="H401" ca="1">INDIRECT(ADDRESS(myRAND(1,H$2,H$8:H$9)+5,H$1))</f>
        <v>1</v>
      </c>
      <c r="I401" cm="1">
        <f t="array" aca="1" ref="I401" ca="1">INDIRECT(ADDRESS(myRAND(1,I$2,I$8:I$9)+5,I$1))</f>
        <v>0</v>
      </c>
      <c r="J401">
        <f t="shared" ca="1" si="66"/>
        <v>16</v>
      </c>
      <c r="K401">
        <f t="shared" ca="1" si="66"/>
        <v>195</v>
      </c>
      <c r="L401" s="3">
        <f t="shared" ref="L401:L464" ca="1" si="68">IF(R401=0,IF(M401&lt;$M$11,1,IF(M401&lt;M397,2,3)),IF(AND(T401&lt;$M$8,S401&lt;$M$9),1,3))</f>
        <v>3</v>
      </c>
      <c r="M401" s="13">
        <f t="shared" ref="M401:M464" ca="1" si="69">1/(1+EXP(-N401))</f>
        <v>0.41338242108266998</v>
      </c>
      <c r="N401">
        <f t="shared" ref="N401:N464" ca="1" si="70">-4.37+0.04*B401+1.34 *C401+1.9 * P401+  0.64 *O401</f>
        <v>-0.35000000000000009</v>
      </c>
      <c r="O401">
        <f t="shared" ref="O401:O464" ca="1" si="71">IF(SUM(D401:F401)=3,1,0)</f>
        <v>0</v>
      </c>
      <c r="P401">
        <f t="shared" ref="P401:P464" ca="1" si="72">IF(SUM(D401:F401)=2,1,0)</f>
        <v>1</v>
      </c>
      <c r="Q401">
        <f t="shared" ref="Q401:Q464" ca="1" si="73">IF(SUM(D401:F401)=1,1,0)</f>
        <v>0</v>
      </c>
      <c r="R401">
        <f t="shared" ref="R401:R464" ca="1" si="74">IF(SUM(D401:G401)=0,1,0)</f>
        <v>0</v>
      </c>
      <c r="S401">
        <f t="shared" ref="S401:S464" ca="1" si="75">SUM(G401:I401)</f>
        <v>1</v>
      </c>
      <c r="T401" s="17">
        <f t="shared" ref="T401:T464" ca="1" si="76">(B401-20)/100 *$T$5 + C401*$T$6+(K401-100)/$K$6*$T$7+J401/$J$6*$T$8+I401*$T$9</f>
        <v>1.8490476190476191</v>
      </c>
    </row>
    <row r="402" spans="2:20" x14ac:dyDescent="0.3">
      <c r="B402">
        <f t="shared" ca="1" si="67"/>
        <v>39</v>
      </c>
      <c r="C402" cm="1">
        <f t="array" aca="1" ref="C402" ca="1">INDIRECT(ADDRESS(myRAND(1,C$2,C$8:C$9)+5,C$1))</f>
        <v>0</v>
      </c>
      <c r="D402" cm="1">
        <f t="array" aca="1" ref="D402" ca="1">INDIRECT(ADDRESS(myRAND(1,D$2,D$8:D$9)+5,D$1))</f>
        <v>1</v>
      </c>
      <c r="E402" cm="1">
        <f t="array" aca="1" ref="E402" ca="1">INDIRECT(ADDRESS(myRAND(1,E$2,E$8:E$9)+5,E$1))</f>
        <v>1</v>
      </c>
      <c r="F402" cm="1">
        <f t="array" aca="1" ref="F402" ca="1">INDIRECT(ADDRESS(myRAND(1,F$2,F$8:F$9)+5,F$1))</f>
        <v>1</v>
      </c>
      <c r="G402" cm="1">
        <f t="array" aca="1" ref="G402" ca="1">INDIRECT(ADDRESS(myRAND(1,G$2,G$8:G$9)+5,G$1))</f>
        <v>0</v>
      </c>
      <c r="H402" cm="1">
        <f t="array" aca="1" ref="H402" ca="1">INDIRECT(ADDRESS(myRAND(1,H$2,H$8:H$9)+5,H$1))</f>
        <v>1</v>
      </c>
      <c r="I402" cm="1">
        <f t="array" aca="1" ref="I402" ca="1">INDIRECT(ADDRESS(myRAND(1,I$2,I$8:I$9)+5,I$1))</f>
        <v>1</v>
      </c>
      <c r="J402">
        <f t="shared" ca="1" si="66"/>
        <v>19</v>
      </c>
      <c r="K402">
        <f t="shared" ca="1" si="66"/>
        <v>246</v>
      </c>
      <c r="L402" s="3">
        <f t="shared" ca="1" si="68"/>
        <v>1</v>
      </c>
      <c r="M402" s="13">
        <f t="shared" ca="1" si="69"/>
        <v>0.10247703344409737</v>
      </c>
      <c r="N402">
        <f t="shared" ca="1" si="70"/>
        <v>-2.17</v>
      </c>
      <c r="O402">
        <f t="shared" ca="1" si="71"/>
        <v>1</v>
      </c>
      <c r="P402">
        <f t="shared" ca="1" si="72"/>
        <v>0</v>
      </c>
      <c r="Q402">
        <f t="shared" ca="1" si="73"/>
        <v>0</v>
      </c>
      <c r="R402">
        <f t="shared" ca="1" si="74"/>
        <v>0</v>
      </c>
      <c r="S402">
        <f t="shared" ca="1" si="75"/>
        <v>2</v>
      </c>
      <c r="T402" s="17">
        <f t="shared" ca="1" si="76"/>
        <v>5.1519047619047615</v>
      </c>
    </row>
    <row r="403" spans="2:20" x14ac:dyDescent="0.3">
      <c r="B403">
        <f t="shared" ca="1" si="67"/>
        <v>57</v>
      </c>
      <c r="C403" cm="1">
        <f t="array" aca="1" ref="C403" ca="1">INDIRECT(ADDRESS(myRAND(1,C$2,C$8:C$9)+5,C$1))</f>
        <v>0</v>
      </c>
      <c r="D403" cm="1">
        <f t="array" aca="1" ref="D403" ca="1">INDIRECT(ADDRESS(myRAND(1,D$2,D$8:D$9)+5,D$1))</f>
        <v>1</v>
      </c>
      <c r="E403" cm="1">
        <f t="array" aca="1" ref="E403" ca="1">INDIRECT(ADDRESS(myRAND(1,E$2,E$8:E$9)+5,E$1))</f>
        <v>0</v>
      </c>
      <c r="F403" cm="1">
        <f t="array" aca="1" ref="F403" ca="1">INDIRECT(ADDRESS(myRAND(1,F$2,F$8:F$9)+5,F$1))</f>
        <v>0</v>
      </c>
      <c r="G403" cm="1">
        <f t="array" aca="1" ref="G403" ca="1">INDIRECT(ADDRESS(myRAND(1,G$2,G$8:G$9)+5,G$1))</f>
        <v>1</v>
      </c>
      <c r="H403" cm="1">
        <f t="array" aca="1" ref="H403" ca="1">INDIRECT(ADDRESS(myRAND(1,H$2,H$8:H$9)+5,H$1))</f>
        <v>0</v>
      </c>
      <c r="I403" cm="1">
        <f t="array" aca="1" ref="I403" ca="1">INDIRECT(ADDRESS(myRAND(1,I$2,I$8:I$9)+5,I$1))</f>
        <v>0</v>
      </c>
      <c r="J403">
        <f t="shared" ca="1" si="66"/>
        <v>15</v>
      </c>
      <c r="K403">
        <f t="shared" ca="1" si="66"/>
        <v>215</v>
      </c>
      <c r="L403" s="3">
        <f t="shared" ca="1" si="68"/>
        <v>1</v>
      </c>
      <c r="M403" s="13">
        <f t="shared" ca="1" si="69"/>
        <v>0.11007257436250302</v>
      </c>
      <c r="N403">
        <f t="shared" ca="1" si="70"/>
        <v>-2.09</v>
      </c>
      <c r="O403">
        <f t="shared" ca="1" si="71"/>
        <v>0</v>
      </c>
      <c r="P403">
        <f t="shared" ca="1" si="72"/>
        <v>0</v>
      </c>
      <c r="Q403">
        <f t="shared" ca="1" si="73"/>
        <v>1</v>
      </c>
      <c r="R403">
        <f t="shared" ca="1" si="74"/>
        <v>0</v>
      </c>
      <c r="S403">
        <f t="shared" ca="1" si="75"/>
        <v>1</v>
      </c>
      <c r="T403" s="17">
        <f t="shared" ca="1" si="76"/>
        <v>1.9176190476190476</v>
      </c>
    </row>
    <row r="404" spans="2:20" x14ac:dyDescent="0.3">
      <c r="B404">
        <f t="shared" ca="1" si="67"/>
        <v>61</v>
      </c>
      <c r="C404" cm="1">
        <f t="array" aca="1" ref="C404" ca="1">INDIRECT(ADDRESS(myRAND(1,C$2,C$8:C$9)+5,C$1))</f>
        <v>0</v>
      </c>
      <c r="D404" cm="1">
        <f t="array" aca="1" ref="D404" ca="1">INDIRECT(ADDRESS(myRAND(1,D$2,D$8:D$9)+5,D$1))</f>
        <v>0</v>
      </c>
      <c r="E404" cm="1">
        <f t="array" aca="1" ref="E404" ca="1">INDIRECT(ADDRESS(myRAND(1,E$2,E$8:E$9)+5,E$1))</f>
        <v>0</v>
      </c>
      <c r="F404" cm="1">
        <f t="array" aca="1" ref="F404" ca="1">INDIRECT(ADDRESS(myRAND(1,F$2,F$8:F$9)+5,F$1))</f>
        <v>0</v>
      </c>
      <c r="G404" cm="1">
        <f t="array" aca="1" ref="G404" ca="1">INDIRECT(ADDRESS(myRAND(1,G$2,G$8:G$9)+5,G$1))</f>
        <v>1</v>
      </c>
      <c r="H404" cm="1">
        <f t="array" aca="1" ref="H404" ca="1">INDIRECT(ADDRESS(myRAND(1,H$2,H$8:H$9)+5,H$1))</f>
        <v>0</v>
      </c>
      <c r="I404" cm="1">
        <f t="array" aca="1" ref="I404" ca="1">INDIRECT(ADDRESS(myRAND(1,I$2,I$8:I$9)+5,I$1))</f>
        <v>0</v>
      </c>
      <c r="J404">
        <f t="shared" ca="1" si="66"/>
        <v>17</v>
      </c>
      <c r="K404">
        <f t="shared" ca="1" si="66"/>
        <v>160</v>
      </c>
      <c r="L404" s="3">
        <f t="shared" ca="1" si="68"/>
        <v>1</v>
      </c>
      <c r="M404" s="13">
        <f t="shared" ca="1" si="69"/>
        <v>0.12675058012214077</v>
      </c>
      <c r="N404">
        <f t="shared" ca="1" si="70"/>
        <v>-1.9300000000000002</v>
      </c>
      <c r="O404">
        <f t="shared" ca="1" si="71"/>
        <v>0</v>
      </c>
      <c r="P404">
        <f t="shared" ca="1" si="72"/>
        <v>0</v>
      </c>
      <c r="Q404">
        <f t="shared" ca="1" si="73"/>
        <v>0</v>
      </c>
      <c r="R404">
        <f t="shared" ca="1" si="74"/>
        <v>0</v>
      </c>
      <c r="S404">
        <f t="shared" ca="1" si="75"/>
        <v>1</v>
      </c>
      <c r="T404" s="17">
        <f t="shared" ca="1" si="76"/>
        <v>1.829047619047619</v>
      </c>
    </row>
    <row r="405" spans="2:20" x14ac:dyDescent="0.3">
      <c r="B405">
        <f t="shared" ca="1" si="67"/>
        <v>46</v>
      </c>
      <c r="C405" cm="1">
        <f t="array" aca="1" ref="C405" ca="1">INDIRECT(ADDRESS(myRAND(1,C$2,C$8:C$9)+5,C$1))</f>
        <v>0</v>
      </c>
      <c r="D405" cm="1">
        <f t="array" aca="1" ref="D405" ca="1">INDIRECT(ADDRESS(myRAND(1,D$2,D$8:D$9)+5,D$1))</f>
        <v>0</v>
      </c>
      <c r="E405" cm="1">
        <f t="array" aca="1" ref="E405" ca="1">INDIRECT(ADDRESS(myRAND(1,E$2,E$8:E$9)+5,E$1))</f>
        <v>0</v>
      </c>
      <c r="F405" cm="1">
        <f t="array" aca="1" ref="F405" ca="1">INDIRECT(ADDRESS(myRAND(1,F$2,F$8:F$9)+5,F$1))</f>
        <v>1</v>
      </c>
      <c r="G405" cm="1">
        <f t="array" aca="1" ref="G405" ca="1">INDIRECT(ADDRESS(myRAND(1,G$2,G$8:G$9)+5,G$1))</f>
        <v>1</v>
      </c>
      <c r="H405" cm="1">
        <f t="array" aca="1" ref="H405" ca="1">INDIRECT(ADDRESS(myRAND(1,H$2,H$8:H$9)+5,H$1))</f>
        <v>0</v>
      </c>
      <c r="I405" cm="1">
        <f t="array" aca="1" ref="I405" ca="1">INDIRECT(ADDRESS(myRAND(1,I$2,I$8:I$9)+5,I$1))</f>
        <v>1</v>
      </c>
      <c r="J405">
        <f t="shared" ca="1" si="66"/>
        <v>16</v>
      </c>
      <c r="K405">
        <f t="shared" ca="1" si="66"/>
        <v>190</v>
      </c>
      <c r="L405" s="3">
        <f t="shared" ca="1" si="68"/>
        <v>1</v>
      </c>
      <c r="M405" s="13">
        <f t="shared" ca="1" si="69"/>
        <v>7.3781646602465265E-2</v>
      </c>
      <c r="N405">
        <f t="shared" ca="1" si="70"/>
        <v>-2.5300000000000002</v>
      </c>
      <c r="O405">
        <f t="shared" ca="1" si="71"/>
        <v>0</v>
      </c>
      <c r="P405">
        <f t="shared" ca="1" si="72"/>
        <v>0</v>
      </c>
      <c r="Q405">
        <f t="shared" ca="1" si="73"/>
        <v>1</v>
      </c>
      <c r="R405">
        <f t="shared" ca="1" si="74"/>
        <v>0</v>
      </c>
      <c r="S405">
        <f t="shared" ca="1" si="75"/>
        <v>2</v>
      </c>
      <c r="T405" s="17">
        <f t="shared" ca="1" si="76"/>
        <v>4.755238095238095</v>
      </c>
    </row>
    <row r="406" spans="2:20" x14ac:dyDescent="0.3">
      <c r="B406">
        <f t="shared" ca="1" si="67"/>
        <v>55</v>
      </c>
      <c r="C406" cm="1">
        <f t="array" aca="1" ref="C406" ca="1">INDIRECT(ADDRESS(myRAND(1,C$2,C$8:C$9)+5,C$1))</f>
        <v>0</v>
      </c>
      <c r="D406" cm="1">
        <f t="array" aca="1" ref="D406" ca="1">INDIRECT(ADDRESS(myRAND(1,D$2,D$8:D$9)+5,D$1))</f>
        <v>1</v>
      </c>
      <c r="E406" cm="1">
        <f t="array" aca="1" ref="E406" ca="1">INDIRECT(ADDRESS(myRAND(1,E$2,E$8:E$9)+5,E$1))</f>
        <v>1</v>
      </c>
      <c r="F406" cm="1">
        <f t="array" aca="1" ref="F406" ca="1">INDIRECT(ADDRESS(myRAND(1,F$2,F$8:F$9)+5,F$1))</f>
        <v>1</v>
      </c>
      <c r="G406" cm="1">
        <f t="array" aca="1" ref="G406" ca="1">INDIRECT(ADDRESS(myRAND(1,G$2,G$8:G$9)+5,G$1))</f>
        <v>0</v>
      </c>
      <c r="H406" cm="1">
        <f t="array" aca="1" ref="H406" ca="1">INDIRECT(ADDRESS(myRAND(1,H$2,H$8:H$9)+5,H$1))</f>
        <v>1</v>
      </c>
      <c r="I406" cm="1">
        <f t="array" aca="1" ref="I406" ca="1">INDIRECT(ADDRESS(myRAND(1,I$2,I$8:I$9)+5,I$1))</f>
        <v>1</v>
      </c>
      <c r="J406">
        <f t="shared" ca="1" si="66"/>
        <v>22</v>
      </c>
      <c r="K406">
        <f t="shared" ca="1" si="66"/>
        <v>203</v>
      </c>
      <c r="L406" s="3">
        <f t="shared" ca="1" si="68"/>
        <v>3</v>
      </c>
      <c r="M406" s="13">
        <f t="shared" ca="1" si="69"/>
        <v>0.17799368578624652</v>
      </c>
      <c r="N406">
        <f t="shared" ca="1" si="70"/>
        <v>-1.5299999999999998</v>
      </c>
      <c r="O406">
        <f t="shared" ca="1" si="71"/>
        <v>1</v>
      </c>
      <c r="P406">
        <f t="shared" ca="1" si="72"/>
        <v>0</v>
      </c>
      <c r="Q406">
        <f t="shared" ca="1" si="73"/>
        <v>0</v>
      </c>
      <c r="R406">
        <f t="shared" ca="1" si="74"/>
        <v>0</v>
      </c>
      <c r="S406">
        <f t="shared" ca="1" si="75"/>
        <v>2</v>
      </c>
      <c r="T406" s="17">
        <f t="shared" ca="1" si="76"/>
        <v>5.3071428571428569</v>
      </c>
    </row>
    <row r="407" spans="2:20" x14ac:dyDescent="0.3">
      <c r="B407">
        <f t="shared" ca="1" si="67"/>
        <v>37</v>
      </c>
      <c r="C407" cm="1">
        <f t="array" aca="1" ref="C407" ca="1">INDIRECT(ADDRESS(myRAND(1,C$2,C$8:C$9)+5,C$1))</f>
        <v>0</v>
      </c>
      <c r="D407" cm="1">
        <f t="array" aca="1" ref="D407" ca="1">INDIRECT(ADDRESS(myRAND(1,D$2,D$8:D$9)+5,D$1))</f>
        <v>0</v>
      </c>
      <c r="E407" cm="1">
        <f t="array" aca="1" ref="E407" ca="1">INDIRECT(ADDRESS(myRAND(1,E$2,E$8:E$9)+5,E$1))</f>
        <v>0</v>
      </c>
      <c r="F407" cm="1">
        <f t="array" aca="1" ref="F407" ca="1">INDIRECT(ADDRESS(myRAND(1,F$2,F$8:F$9)+5,F$1))</f>
        <v>0</v>
      </c>
      <c r="G407" cm="1">
        <f t="array" aca="1" ref="G407" ca="1">INDIRECT(ADDRESS(myRAND(1,G$2,G$8:G$9)+5,G$1))</f>
        <v>1</v>
      </c>
      <c r="H407" cm="1">
        <f t="array" aca="1" ref="H407" ca="1">INDIRECT(ADDRESS(myRAND(1,H$2,H$8:H$9)+5,H$1))</f>
        <v>1</v>
      </c>
      <c r="I407" cm="1">
        <f t="array" aca="1" ref="I407" ca="1">INDIRECT(ADDRESS(myRAND(1,I$2,I$8:I$9)+5,I$1))</f>
        <v>0</v>
      </c>
      <c r="J407">
        <f t="shared" ca="1" si="66"/>
        <v>14</v>
      </c>
      <c r="K407">
        <f t="shared" ca="1" si="66"/>
        <v>231</v>
      </c>
      <c r="L407" s="3">
        <f t="shared" ca="1" si="68"/>
        <v>1</v>
      </c>
      <c r="M407" s="13">
        <f t="shared" ca="1" si="69"/>
        <v>5.2650118435302901E-2</v>
      </c>
      <c r="N407">
        <f t="shared" ca="1" si="70"/>
        <v>-2.89</v>
      </c>
      <c r="O407">
        <f t="shared" ca="1" si="71"/>
        <v>0</v>
      </c>
      <c r="P407">
        <f t="shared" ca="1" si="72"/>
        <v>0</v>
      </c>
      <c r="Q407">
        <f t="shared" ca="1" si="73"/>
        <v>0</v>
      </c>
      <c r="R407">
        <f t="shared" ca="1" si="74"/>
        <v>0</v>
      </c>
      <c r="S407">
        <f t="shared" ca="1" si="75"/>
        <v>2</v>
      </c>
      <c r="T407" s="17">
        <f t="shared" ca="1" si="76"/>
        <v>1.7271428571428573</v>
      </c>
    </row>
    <row r="408" spans="2:20" x14ac:dyDescent="0.3">
      <c r="B408">
        <f t="shared" ca="1" si="67"/>
        <v>42</v>
      </c>
      <c r="C408" cm="1">
        <f t="array" aca="1" ref="C408" ca="1">INDIRECT(ADDRESS(myRAND(1,C$2,C$8:C$9)+5,C$1))</f>
        <v>0</v>
      </c>
      <c r="D408" cm="1">
        <f t="array" aca="1" ref="D408" ca="1">INDIRECT(ADDRESS(myRAND(1,D$2,D$8:D$9)+5,D$1))</f>
        <v>0</v>
      </c>
      <c r="E408" cm="1">
        <f t="array" aca="1" ref="E408" ca="1">INDIRECT(ADDRESS(myRAND(1,E$2,E$8:E$9)+5,E$1))</f>
        <v>0</v>
      </c>
      <c r="F408" cm="1">
        <f t="array" aca="1" ref="F408" ca="1">INDIRECT(ADDRESS(myRAND(1,F$2,F$8:F$9)+5,F$1))</f>
        <v>1</v>
      </c>
      <c r="G408" cm="1">
        <f t="array" aca="1" ref="G408" ca="1">INDIRECT(ADDRESS(myRAND(1,G$2,G$8:G$9)+5,G$1))</f>
        <v>0</v>
      </c>
      <c r="H408" cm="1">
        <f t="array" aca="1" ref="H408" ca="1">INDIRECT(ADDRESS(myRAND(1,H$2,H$8:H$9)+5,H$1))</f>
        <v>0</v>
      </c>
      <c r="I408" cm="1">
        <f t="array" aca="1" ref="I408" ca="1">INDIRECT(ADDRESS(myRAND(1,I$2,I$8:I$9)+5,I$1))</f>
        <v>0</v>
      </c>
      <c r="J408">
        <f t="shared" ca="1" si="66"/>
        <v>17</v>
      </c>
      <c r="K408">
        <f t="shared" ca="1" si="66"/>
        <v>224</v>
      </c>
      <c r="L408" s="3">
        <f t="shared" ca="1" si="68"/>
        <v>1</v>
      </c>
      <c r="M408" s="13">
        <f t="shared" ca="1" si="69"/>
        <v>6.3566018335055249E-2</v>
      </c>
      <c r="N408">
        <f t="shared" ca="1" si="70"/>
        <v>-2.6900000000000004</v>
      </c>
      <c r="O408">
        <f t="shared" ca="1" si="71"/>
        <v>0</v>
      </c>
      <c r="P408">
        <f t="shared" ca="1" si="72"/>
        <v>0</v>
      </c>
      <c r="Q408">
        <f t="shared" ca="1" si="73"/>
        <v>1</v>
      </c>
      <c r="R408">
        <f t="shared" ca="1" si="74"/>
        <v>0</v>
      </c>
      <c r="S408">
        <f t="shared" ca="1" si="75"/>
        <v>0</v>
      </c>
      <c r="T408" s="17">
        <f t="shared" ca="1" si="76"/>
        <v>1.9438095238095237</v>
      </c>
    </row>
    <row r="409" spans="2:20" x14ac:dyDescent="0.3">
      <c r="B409">
        <f t="shared" ca="1" si="67"/>
        <v>50</v>
      </c>
      <c r="C409" cm="1">
        <f t="array" aca="1" ref="C409" ca="1">INDIRECT(ADDRESS(myRAND(1,C$2,C$8:C$9)+5,C$1))</f>
        <v>0</v>
      </c>
      <c r="D409" cm="1">
        <f t="array" aca="1" ref="D409" ca="1">INDIRECT(ADDRESS(myRAND(1,D$2,D$8:D$9)+5,D$1))</f>
        <v>1</v>
      </c>
      <c r="E409" cm="1">
        <f t="array" aca="1" ref="E409" ca="1">INDIRECT(ADDRESS(myRAND(1,E$2,E$8:E$9)+5,E$1))</f>
        <v>1</v>
      </c>
      <c r="F409" cm="1">
        <f t="array" aca="1" ref="F409" ca="1">INDIRECT(ADDRESS(myRAND(1,F$2,F$8:F$9)+5,F$1))</f>
        <v>1</v>
      </c>
      <c r="G409" cm="1">
        <f t="array" aca="1" ref="G409" ca="1">INDIRECT(ADDRESS(myRAND(1,G$2,G$8:G$9)+5,G$1))</f>
        <v>0</v>
      </c>
      <c r="H409" cm="1">
        <f t="array" aca="1" ref="H409" ca="1">INDIRECT(ADDRESS(myRAND(1,H$2,H$8:H$9)+5,H$1))</f>
        <v>0</v>
      </c>
      <c r="I409" cm="1">
        <f t="array" aca="1" ref="I409" ca="1">INDIRECT(ADDRESS(myRAND(1,I$2,I$8:I$9)+5,I$1))</f>
        <v>1</v>
      </c>
      <c r="J409">
        <f t="shared" ca="1" si="66"/>
        <v>17</v>
      </c>
      <c r="K409">
        <f t="shared" ca="1" si="66"/>
        <v>220</v>
      </c>
      <c r="L409" s="3">
        <f t="shared" ca="1" si="68"/>
        <v>3</v>
      </c>
      <c r="M409" s="13">
        <f t="shared" ca="1" si="69"/>
        <v>0.15058757974584394</v>
      </c>
      <c r="N409">
        <f t="shared" ca="1" si="70"/>
        <v>-1.73</v>
      </c>
      <c r="O409">
        <f t="shared" ca="1" si="71"/>
        <v>1</v>
      </c>
      <c r="P409">
        <f t="shared" ca="1" si="72"/>
        <v>0</v>
      </c>
      <c r="Q409">
        <f t="shared" ca="1" si="73"/>
        <v>0</v>
      </c>
      <c r="R409">
        <f t="shared" ca="1" si="74"/>
        <v>0</v>
      </c>
      <c r="S409">
        <f t="shared" ca="1" si="75"/>
        <v>1</v>
      </c>
      <c r="T409" s="17">
        <f t="shared" ca="1" si="76"/>
        <v>5.0047619047619047</v>
      </c>
    </row>
    <row r="410" spans="2:20" x14ac:dyDescent="0.3">
      <c r="B410">
        <f t="shared" ca="1" si="67"/>
        <v>57</v>
      </c>
      <c r="C410" cm="1">
        <f t="array" aca="1" ref="C410" ca="1">INDIRECT(ADDRESS(myRAND(1,C$2,C$8:C$9)+5,C$1))</f>
        <v>0</v>
      </c>
      <c r="D410" cm="1">
        <f t="array" aca="1" ref="D410" ca="1">INDIRECT(ADDRESS(myRAND(1,D$2,D$8:D$9)+5,D$1))</f>
        <v>1</v>
      </c>
      <c r="E410" cm="1">
        <f t="array" aca="1" ref="E410" ca="1">INDIRECT(ADDRESS(myRAND(1,E$2,E$8:E$9)+5,E$1))</f>
        <v>1</v>
      </c>
      <c r="F410" cm="1">
        <f t="array" aca="1" ref="F410" ca="1">INDIRECT(ADDRESS(myRAND(1,F$2,F$8:F$9)+5,F$1))</f>
        <v>0</v>
      </c>
      <c r="G410" cm="1">
        <f t="array" aca="1" ref="G410" ca="1">INDIRECT(ADDRESS(myRAND(1,G$2,G$8:G$9)+5,G$1))</f>
        <v>0</v>
      </c>
      <c r="H410" cm="1">
        <f t="array" aca="1" ref="H410" ca="1">INDIRECT(ADDRESS(myRAND(1,H$2,H$8:H$9)+5,H$1))</f>
        <v>1</v>
      </c>
      <c r="I410" cm="1">
        <f t="array" aca="1" ref="I410" ca="1">INDIRECT(ADDRESS(myRAND(1,I$2,I$8:I$9)+5,I$1))</f>
        <v>0</v>
      </c>
      <c r="J410">
        <f t="shared" ca="1" si="66"/>
        <v>18</v>
      </c>
      <c r="K410">
        <f t="shared" ca="1" si="66"/>
        <v>170</v>
      </c>
      <c r="L410" s="3">
        <f t="shared" ca="1" si="68"/>
        <v>3</v>
      </c>
      <c r="M410" s="13">
        <f t="shared" ca="1" si="69"/>
        <v>0.45264238185691075</v>
      </c>
      <c r="N410">
        <f t="shared" ca="1" si="70"/>
        <v>-0.18999999999999995</v>
      </c>
      <c r="O410">
        <f t="shared" ca="1" si="71"/>
        <v>0</v>
      </c>
      <c r="P410">
        <f t="shared" ca="1" si="72"/>
        <v>1</v>
      </c>
      <c r="Q410">
        <f t="shared" ca="1" si="73"/>
        <v>0</v>
      </c>
      <c r="R410">
        <f t="shared" ca="1" si="74"/>
        <v>0</v>
      </c>
      <c r="S410">
        <f t="shared" ca="1" si="75"/>
        <v>1</v>
      </c>
      <c r="T410" s="17">
        <f t="shared" ca="1" si="76"/>
        <v>1.9033333333333333</v>
      </c>
    </row>
    <row r="411" spans="2:20" x14ac:dyDescent="0.3">
      <c r="B411">
        <f t="shared" ca="1" si="67"/>
        <v>37</v>
      </c>
      <c r="C411" cm="1">
        <f t="array" aca="1" ref="C411" ca="1">INDIRECT(ADDRESS(myRAND(1,C$2,C$8:C$9)+5,C$1))</f>
        <v>1</v>
      </c>
      <c r="D411" cm="1">
        <f t="array" aca="1" ref="D411" ca="1">INDIRECT(ADDRESS(myRAND(1,D$2,D$8:D$9)+5,D$1))</f>
        <v>0</v>
      </c>
      <c r="E411" cm="1">
        <f t="array" aca="1" ref="E411" ca="1">INDIRECT(ADDRESS(myRAND(1,E$2,E$8:E$9)+5,E$1))</f>
        <v>1</v>
      </c>
      <c r="F411" cm="1">
        <f t="array" aca="1" ref="F411" ca="1">INDIRECT(ADDRESS(myRAND(1,F$2,F$8:F$9)+5,F$1))</f>
        <v>0</v>
      </c>
      <c r="G411" cm="1">
        <f t="array" aca="1" ref="G411" ca="1">INDIRECT(ADDRESS(myRAND(1,G$2,G$8:G$9)+5,G$1))</f>
        <v>0</v>
      </c>
      <c r="H411" cm="1">
        <f t="array" aca="1" ref="H411" ca="1">INDIRECT(ADDRESS(myRAND(1,H$2,H$8:H$9)+5,H$1))</f>
        <v>1</v>
      </c>
      <c r="I411" cm="1">
        <f t="array" aca="1" ref="I411" ca="1">INDIRECT(ADDRESS(myRAND(1,I$2,I$8:I$9)+5,I$1))</f>
        <v>0</v>
      </c>
      <c r="J411">
        <f t="shared" ca="1" si="66"/>
        <v>14</v>
      </c>
      <c r="K411">
        <f t="shared" ca="1" si="66"/>
        <v>221</v>
      </c>
      <c r="L411" s="3">
        <f t="shared" ca="1" si="68"/>
        <v>3</v>
      </c>
      <c r="M411" s="13">
        <f t="shared" ca="1" si="69"/>
        <v>0.1750862681640398</v>
      </c>
      <c r="N411">
        <f t="shared" ca="1" si="70"/>
        <v>-1.55</v>
      </c>
      <c r="O411">
        <f t="shared" ca="1" si="71"/>
        <v>0</v>
      </c>
      <c r="P411">
        <f t="shared" ca="1" si="72"/>
        <v>0</v>
      </c>
      <c r="Q411">
        <f t="shared" ca="1" si="73"/>
        <v>1</v>
      </c>
      <c r="R411">
        <f t="shared" ca="1" si="74"/>
        <v>0</v>
      </c>
      <c r="S411">
        <f t="shared" ca="1" si="75"/>
        <v>1</v>
      </c>
      <c r="T411" s="17">
        <f t="shared" ca="1" si="76"/>
        <v>2.6795238095238094</v>
      </c>
    </row>
    <row r="412" spans="2:20" x14ac:dyDescent="0.3">
      <c r="B412">
        <f t="shared" ca="1" si="67"/>
        <v>60</v>
      </c>
      <c r="C412" cm="1">
        <f t="array" aca="1" ref="C412" ca="1">INDIRECT(ADDRESS(myRAND(1,C$2,C$8:C$9)+5,C$1))</f>
        <v>0</v>
      </c>
      <c r="D412" cm="1">
        <f t="array" aca="1" ref="D412" ca="1">INDIRECT(ADDRESS(myRAND(1,D$2,D$8:D$9)+5,D$1))</f>
        <v>0</v>
      </c>
      <c r="E412" cm="1">
        <f t="array" aca="1" ref="E412" ca="1">INDIRECT(ADDRESS(myRAND(1,E$2,E$8:E$9)+5,E$1))</f>
        <v>0</v>
      </c>
      <c r="F412" cm="1">
        <f t="array" aca="1" ref="F412" ca="1">INDIRECT(ADDRESS(myRAND(1,F$2,F$8:F$9)+5,F$1))</f>
        <v>1</v>
      </c>
      <c r="G412" cm="1">
        <f t="array" aca="1" ref="G412" ca="1">INDIRECT(ADDRESS(myRAND(1,G$2,G$8:G$9)+5,G$1))</f>
        <v>1</v>
      </c>
      <c r="H412" cm="1">
        <f t="array" aca="1" ref="H412" ca="1">INDIRECT(ADDRESS(myRAND(1,H$2,H$8:H$9)+5,H$1))</f>
        <v>0</v>
      </c>
      <c r="I412" cm="1">
        <f t="array" aca="1" ref="I412" ca="1">INDIRECT(ADDRESS(myRAND(1,I$2,I$8:I$9)+5,I$1))</f>
        <v>1</v>
      </c>
      <c r="J412">
        <f t="shared" ca="1" si="66"/>
        <v>16</v>
      </c>
      <c r="K412">
        <f t="shared" ca="1" si="66"/>
        <v>213</v>
      </c>
      <c r="L412" s="3">
        <f t="shared" ca="1" si="68"/>
        <v>1</v>
      </c>
      <c r="M412" s="13">
        <f t="shared" ca="1" si="69"/>
        <v>0.12238888682304884</v>
      </c>
      <c r="N412">
        <f t="shared" ca="1" si="70"/>
        <v>-1.9700000000000002</v>
      </c>
      <c r="O412">
        <f t="shared" ca="1" si="71"/>
        <v>0</v>
      </c>
      <c r="P412">
        <f t="shared" ca="1" si="72"/>
        <v>0</v>
      </c>
      <c r="Q412">
        <f t="shared" ca="1" si="73"/>
        <v>1</v>
      </c>
      <c r="R412">
        <f t="shared" ca="1" si="74"/>
        <v>0</v>
      </c>
      <c r="S412">
        <f t="shared" ca="1" si="75"/>
        <v>2</v>
      </c>
      <c r="T412" s="17">
        <f t="shared" ca="1" si="76"/>
        <v>5.0047619047619047</v>
      </c>
    </row>
    <row r="413" spans="2:20" x14ac:dyDescent="0.3">
      <c r="B413">
        <f t="shared" ca="1" si="67"/>
        <v>39</v>
      </c>
      <c r="C413" cm="1">
        <f t="array" aca="1" ref="C413" ca="1">INDIRECT(ADDRESS(myRAND(1,C$2,C$8:C$9)+5,C$1))</f>
        <v>1</v>
      </c>
      <c r="D413" cm="1">
        <f t="array" aca="1" ref="D413" ca="1">INDIRECT(ADDRESS(myRAND(1,D$2,D$8:D$9)+5,D$1))</f>
        <v>0</v>
      </c>
      <c r="E413" cm="1">
        <f t="array" aca="1" ref="E413" ca="1">INDIRECT(ADDRESS(myRAND(1,E$2,E$8:E$9)+5,E$1))</f>
        <v>1</v>
      </c>
      <c r="F413" cm="1">
        <f t="array" aca="1" ref="F413" ca="1">INDIRECT(ADDRESS(myRAND(1,F$2,F$8:F$9)+5,F$1))</f>
        <v>1</v>
      </c>
      <c r="G413" cm="1">
        <f t="array" aca="1" ref="G413" ca="1">INDIRECT(ADDRESS(myRAND(1,G$2,G$8:G$9)+5,G$1))</f>
        <v>0</v>
      </c>
      <c r="H413" cm="1">
        <f t="array" aca="1" ref="H413" ca="1">INDIRECT(ADDRESS(myRAND(1,H$2,H$8:H$9)+5,H$1))</f>
        <v>0</v>
      </c>
      <c r="I413" cm="1">
        <f t="array" aca="1" ref="I413" ca="1">INDIRECT(ADDRESS(myRAND(1,I$2,I$8:I$9)+5,I$1))</f>
        <v>1</v>
      </c>
      <c r="J413">
        <f t="shared" ca="1" si="66"/>
        <v>19</v>
      </c>
      <c r="K413">
        <f t="shared" ca="1" si="66"/>
        <v>222</v>
      </c>
      <c r="L413" s="3">
        <f t="shared" ca="1" si="68"/>
        <v>3</v>
      </c>
      <c r="M413" s="13">
        <f t="shared" ca="1" si="69"/>
        <v>0.60587366843176049</v>
      </c>
      <c r="N413">
        <f t="shared" ca="1" si="70"/>
        <v>0.42999999999999994</v>
      </c>
      <c r="O413">
        <f t="shared" ca="1" si="71"/>
        <v>0</v>
      </c>
      <c r="P413">
        <f t="shared" ca="1" si="72"/>
        <v>1</v>
      </c>
      <c r="Q413">
        <f t="shared" ca="1" si="73"/>
        <v>0</v>
      </c>
      <c r="R413">
        <f t="shared" ca="1" si="74"/>
        <v>0</v>
      </c>
      <c r="S413">
        <f t="shared" ca="1" si="75"/>
        <v>1</v>
      </c>
      <c r="T413" s="17">
        <f t="shared" ca="1" si="76"/>
        <v>6.0376190476190477</v>
      </c>
    </row>
    <row r="414" spans="2:20" x14ac:dyDescent="0.3">
      <c r="B414">
        <f t="shared" ca="1" si="67"/>
        <v>64</v>
      </c>
      <c r="C414" cm="1">
        <f t="array" aca="1" ref="C414" ca="1">INDIRECT(ADDRESS(myRAND(1,C$2,C$8:C$9)+5,C$1))</f>
        <v>0</v>
      </c>
      <c r="D414" cm="1">
        <f t="array" aca="1" ref="D414" ca="1">INDIRECT(ADDRESS(myRAND(1,D$2,D$8:D$9)+5,D$1))</f>
        <v>1</v>
      </c>
      <c r="E414" cm="1">
        <f t="array" aca="1" ref="E414" ca="1">INDIRECT(ADDRESS(myRAND(1,E$2,E$8:E$9)+5,E$1))</f>
        <v>1</v>
      </c>
      <c r="F414" cm="1">
        <f t="array" aca="1" ref="F414" ca="1">INDIRECT(ADDRESS(myRAND(1,F$2,F$8:F$9)+5,F$1))</f>
        <v>0</v>
      </c>
      <c r="G414" cm="1">
        <f t="array" aca="1" ref="G414" ca="1">INDIRECT(ADDRESS(myRAND(1,G$2,G$8:G$9)+5,G$1))</f>
        <v>0</v>
      </c>
      <c r="H414" cm="1">
        <f t="array" aca="1" ref="H414" ca="1">INDIRECT(ADDRESS(myRAND(1,H$2,H$8:H$9)+5,H$1))</f>
        <v>0</v>
      </c>
      <c r="I414" cm="1">
        <f t="array" aca="1" ref="I414" ca="1">INDIRECT(ADDRESS(myRAND(1,I$2,I$8:I$9)+5,I$1))</f>
        <v>0</v>
      </c>
      <c r="J414">
        <f t="shared" ca="1" si="66"/>
        <v>12</v>
      </c>
      <c r="K414">
        <f t="shared" ca="1" si="66"/>
        <v>208</v>
      </c>
      <c r="L414" s="3">
        <f t="shared" ca="1" si="68"/>
        <v>3</v>
      </c>
      <c r="M414" s="13">
        <f t="shared" ca="1" si="69"/>
        <v>0.52248482479180003</v>
      </c>
      <c r="N414">
        <f t="shared" ca="1" si="70"/>
        <v>8.9999999999999858E-2</v>
      </c>
      <c r="O414">
        <f t="shared" ca="1" si="71"/>
        <v>0</v>
      </c>
      <c r="P414">
        <f t="shared" ca="1" si="72"/>
        <v>1</v>
      </c>
      <c r="Q414">
        <f t="shared" ca="1" si="73"/>
        <v>0</v>
      </c>
      <c r="R414">
        <f t="shared" ca="1" si="74"/>
        <v>0</v>
      </c>
      <c r="S414">
        <f t="shared" ca="1" si="75"/>
        <v>0</v>
      </c>
      <c r="T414" s="17">
        <f t="shared" ca="1" si="76"/>
        <v>1.7542857142857142</v>
      </c>
    </row>
    <row r="415" spans="2:20" x14ac:dyDescent="0.3">
      <c r="B415">
        <f t="shared" ca="1" si="67"/>
        <v>59</v>
      </c>
      <c r="C415" cm="1">
        <f t="array" aca="1" ref="C415" ca="1">INDIRECT(ADDRESS(myRAND(1,C$2,C$8:C$9)+5,C$1))</f>
        <v>0</v>
      </c>
      <c r="D415" cm="1">
        <f t="array" aca="1" ref="D415" ca="1">INDIRECT(ADDRESS(myRAND(1,D$2,D$8:D$9)+5,D$1))</f>
        <v>1</v>
      </c>
      <c r="E415" cm="1">
        <f t="array" aca="1" ref="E415" ca="1">INDIRECT(ADDRESS(myRAND(1,E$2,E$8:E$9)+5,E$1))</f>
        <v>1</v>
      </c>
      <c r="F415" cm="1">
        <f t="array" aca="1" ref="F415" ca="1">INDIRECT(ADDRESS(myRAND(1,F$2,F$8:F$9)+5,F$1))</f>
        <v>1</v>
      </c>
      <c r="G415" cm="1">
        <f t="array" aca="1" ref="G415" ca="1">INDIRECT(ADDRESS(myRAND(1,G$2,G$8:G$9)+5,G$1))</f>
        <v>0</v>
      </c>
      <c r="H415" cm="1">
        <f t="array" aca="1" ref="H415" ca="1">INDIRECT(ADDRESS(myRAND(1,H$2,H$8:H$9)+5,H$1))</f>
        <v>0</v>
      </c>
      <c r="I415" cm="1">
        <f t="array" aca="1" ref="I415" ca="1">INDIRECT(ADDRESS(myRAND(1,I$2,I$8:I$9)+5,I$1))</f>
        <v>1</v>
      </c>
      <c r="J415">
        <f t="shared" ca="1" si="66"/>
        <v>21</v>
      </c>
      <c r="K415">
        <f t="shared" ca="1" si="66"/>
        <v>193</v>
      </c>
      <c r="L415" s="3">
        <f t="shared" ca="1" si="68"/>
        <v>3</v>
      </c>
      <c r="M415" s="13">
        <f t="shared" ca="1" si="69"/>
        <v>0.2026198464311304</v>
      </c>
      <c r="N415">
        <f t="shared" ca="1" si="70"/>
        <v>-1.37</v>
      </c>
      <c r="O415">
        <f t="shared" ca="1" si="71"/>
        <v>1</v>
      </c>
      <c r="P415">
        <f t="shared" ca="1" si="72"/>
        <v>0</v>
      </c>
      <c r="Q415">
        <f t="shared" ca="1" si="73"/>
        <v>0</v>
      </c>
      <c r="R415">
        <f t="shared" ca="1" si="74"/>
        <v>0</v>
      </c>
      <c r="S415">
        <f t="shared" ca="1" si="75"/>
        <v>1</v>
      </c>
      <c r="T415" s="17">
        <f t="shared" ca="1" si="76"/>
        <v>5.2328571428571422</v>
      </c>
    </row>
    <row r="416" spans="2:20" x14ac:dyDescent="0.3">
      <c r="B416">
        <f t="shared" ca="1" si="67"/>
        <v>36</v>
      </c>
      <c r="C416" cm="1">
        <f t="array" aca="1" ref="C416" ca="1">INDIRECT(ADDRESS(myRAND(1,C$2,C$8:C$9)+5,C$1))</f>
        <v>0</v>
      </c>
      <c r="D416" cm="1">
        <f t="array" aca="1" ref="D416" ca="1">INDIRECT(ADDRESS(myRAND(1,D$2,D$8:D$9)+5,D$1))</f>
        <v>0</v>
      </c>
      <c r="E416" cm="1">
        <f t="array" aca="1" ref="E416" ca="1">INDIRECT(ADDRESS(myRAND(1,E$2,E$8:E$9)+5,E$1))</f>
        <v>1</v>
      </c>
      <c r="F416" cm="1">
        <f t="array" aca="1" ref="F416" ca="1">INDIRECT(ADDRESS(myRAND(1,F$2,F$8:F$9)+5,F$1))</f>
        <v>0</v>
      </c>
      <c r="G416" cm="1">
        <f t="array" aca="1" ref="G416" ca="1">INDIRECT(ADDRESS(myRAND(1,G$2,G$8:G$9)+5,G$1))</f>
        <v>1</v>
      </c>
      <c r="H416" cm="1">
        <f t="array" aca="1" ref="H416" ca="1">INDIRECT(ADDRESS(myRAND(1,H$2,H$8:H$9)+5,H$1))</f>
        <v>0</v>
      </c>
      <c r="I416" cm="1">
        <f t="array" aca="1" ref="I416" ca="1">INDIRECT(ADDRESS(myRAND(1,I$2,I$8:I$9)+5,I$1))</f>
        <v>0</v>
      </c>
      <c r="J416">
        <f t="shared" ca="1" si="66"/>
        <v>15</v>
      </c>
      <c r="K416">
        <f t="shared" ca="1" si="66"/>
        <v>208</v>
      </c>
      <c r="L416" s="3">
        <f t="shared" ca="1" si="68"/>
        <v>1</v>
      </c>
      <c r="M416" s="13">
        <f t="shared" ca="1" si="69"/>
        <v>5.0690324931250655E-2</v>
      </c>
      <c r="N416">
        <f t="shared" ca="1" si="70"/>
        <v>-2.93</v>
      </c>
      <c r="O416">
        <f t="shared" ca="1" si="71"/>
        <v>0</v>
      </c>
      <c r="P416">
        <f t="shared" ca="1" si="72"/>
        <v>0</v>
      </c>
      <c r="Q416">
        <f t="shared" ca="1" si="73"/>
        <v>1</v>
      </c>
      <c r="R416">
        <f t="shared" ca="1" si="74"/>
        <v>0</v>
      </c>
      <c r="S416">
        <f t="shared" ca="1" si="75"/>
        <v>1</v>
      </c>
      <c r="T416" s="17">
        <f t="shared" ca="1" si="76"/>
        <v>1.6742857142857144</v>
      </c>
    </row>
    <row r="417" spans="2:20" x14ac:dyDescent="0.3">
      <c r="B417">
        <f t="shared" ca="1" si="67"/>
        <v>57</v>
      </c>
      <c r="C417" cm="1">
        <f t="array" aca="1" ref="C417" ca="1">INDIRECT(ADDRESS(myRAND(1,C$2,C$8:C$9)+5,C$1))</f>
        <v>0</v>
      </c>
      <c r="D417" cm="1">
        <f t="array" aca="1" ref="D417" ca="1">INDIRECT(ADDRESS(myRAND(1,D$2,D$8:D$9)+5,D$1))</f>
        <v>1</v>
      </c>
      <c r="E417" cm="1">
        <f t="array" aca="1" ref="E417" ca="1">INDIRECT(ADDRESS(myRAND(1,E$2,E$8:E$9)+5,E$1))</f>
        <v>0</v>
      </c>
      <c r="F417" cm="1">
        <f t="array" aca="1" ref="F417" ca="1">INDIRECT(ADDRESS(myRAND(1,F$2,F$8:F$9)+5,F$1))</f>
        <v>1</v>
      </c>
      <c r="G417" cm="1">
        <f t="array" aca="1" ref="G417" ca="1">INDIRECT(ADDRESS(myRAND(1,G$2,G$8:G$9)+5,G$1))</f>
        <v>0</v>
      </c>
      <c r="H417" cm="1">
        <f t="array" aca="1" ref="H417" ca="1">INDIRECT(ADDRESS(myRAND(1,H$2,H$8:H$9)+5,H$1))</f>
        <v>0</v>
      </c>
      <c r="I417" cm="1">
        <f t="array" aca="1" ref="I417" ca="1">INDIRECT(ADDRESS(myRAND(1,I$2,I$8:I$9)+5,I$1))</f>
        <v>1</v>
      </c>
      <c r="J417">
        <f t="shared" ca="1" si="66"/>
        <v>19</v>
      </c>
      <c r="K417">
        <f t="shared" ca="1" si="66"/>
        <v>203</v>
      </c>
      <c r="L417" s="3">
        <f t="shared" ca="1" si="68"/>
        <v>2</v>
      </c>
      <c r="M417" s="13">
        <f t="shared" ca="1" si="69"/>
        <v>0.45264238185691075</v>
      </c>
      <c r="N417">
        <f t="shared" ca="1" si="70"/>
        <v>-0.18999999999999995</v>
      </c>
      <c r="O417">
        <f t="shared" ca="1" si="71"/>
        <v>0</v>
      </c>
      <c r="P417">
        <f t="shared" ca="1" si="72"/>
        <v>1</v>
      </c>
      <c r="Q417">
        <f t="shared" ca="1" si="73"/>
        <v>0</v>
      </c>
      <c r="R417">
        <f t="shared" ca="1" si="74"/>
        <v>0</v>
      </c>
      <c r="S417">
        <f t="shared" ca="1" si="75"/>
        <v>1</v>
      </c>
      <c r="T417" s="17">
        <f t="shared" ca="1" si="76"/>
        <v>5.1271428571428572</v>
      </c>
    </row>
    <row r="418" spans="2:20" x14ac:dyDescent="0.3">
      <c r="B418">
        <f t="shared" ca="1" si="67"/>
        <v>65</v>
      </c>
      <c r="C418" cm="1">
        <f t="array" aca="1" ref="C418" ca="1">INDIRECT(ADDRESS(myRAND(1,C$2,C$8:C$9)+5,C$1))</f>
        <v>1</v>
      </c>
      <c r="D418" cm="1">
        <f t="array" aca="1" ref="D418" ca="1">INDIRECT(ADDRESS(myRAND(1,D$2,D$8:D$9)+5,D$1))</f>
        <v>1</v>
      </c>
      <c r="E418" cm="1">
        <f t="array" aca="1" ref="E418" ca="1">INDIRECT(ADDRESS(myRAND(1,E$2,E$8:E$9)+5,E$1))</f>
        <v>1</v>
      </c>
      <c r="F418" cm="1">
        <f t="array" aca="1" ref="F418" ca="1">INDIRECT(ADDRESS(myRAND(1,F$2,F$8:F$9)+5,F$1))</f>
        <v>1</v>
      </c>
      <c r="G418" cm="1">
        <f t="array" aca="1" ref="G418" ca="1">INDIRECT(ADDRESS(myRAND(1,G$2,G$8:G$9)+5,G$1))</f>
        <v>1</v>
      </c>
      <c r="H418" cm="1">
        <f t="array" aca="1" ref="H418" ca="1">INDIRECT(ADDRESS(myRAND(1,H$2,H$8:H$9)+5,H$1))</f>
        <v>0</v>
      </c>
      <c r="I418" cm="1">
        <f t="array" aca="1" ref="I418" ca="1">INDIRECT(ADDRESS(myRAND(1,I$2,I$8:I$9)+5,I$1))</f>
        <v>0</v>
      </c>
      <c r="J418">
        <f t="shared" ca="1" si="66"/>
        <v>15</v>
      </c>
      <c r="K418">
        <f t="shared" ca="1" si="66"/>
        <v>215</v>
      </c>
      <c r="L418" s="3">
        <f t="shared" ca="1" si="68"/>
        <v>3</v>
      </c>
      <c r="M418" s="13">
        <f t="shared" ca="1" si="69"/>
        <v>0.5523079095743253</v>
      </c>
      <c r="N418">
        <f t="shared" ca="1" si="70"/>
        <v>0.21000000000000008</v>
      </c>
      <c r="O418">
        <f t="shared" ca="1" si="71"/>
        <v>1</v>
      </c>
      <c r="P418">
        <f t="shared" ca="1" si="72"/>
        <v>0</v>
      </c>
      <c r="Q418">
        <f t="shared" ca="1" si="73"/>
        <v>0</v>
      </c>
      <c r="R418">
        <f t="shared" ca="1" si="74"/>
        <v>0</v>
      </c>
      <c r="S418">
        <f t="shared" ca="1" si="75"/>
        <v>1</v>
      </c>
      <c r="T418" s="17">
        <f t="shared" ca="1" si="76"/>
        <v>2.9976190476190476</v>
      </c>
    </row>
    <row r="419" spans="2:20" x14ac:dyDescent="0.3">
      <c r="B419">
        <f t="shared" ca="1" si="67"/>
        <v>46</v>
      </c>
      <c r="C419" cm="1">
        <f t="array" aca="1" ref="C419" ca="1">INDIRECT(ADDRESS(myRAND(1,C$2,C$8:C$9)+5,C$1))</f>
        <v>0</v>
      </c>
      <c r="D419" cm="1">
        <f t="array" aca="1" ref="D419" ca="1">INDIRECT(ADDRESS(myRAND(1,D$2,D$8:D$9)+5,D$1))</f>
        <v>1</v>
      </c>
      <c r="E419" cm="1">
        <f t="array" aca="1" ref="E419" ca="1">INDIRECT(ADDRESS(myRAND(1,E$2,E$8:E$9)+5,E$1))</f>
        <v>1</v>
      </c>
      <c r="F419" cm="1">
        <f t="array" aca="1" ref="F419" ca="1">INDIRECT(ADDRESS(myRAND(1,F$2,F$8:F$9)+5,F$1))</f>
        <v>1</v>
      </c>
      <c r="G419" cm="1">
        <f t="array" aca="1" ref="G419" ca="1">INDIRECT(ADDRESS(myRAND(1,G$2,G$8:G$9)+5,G$1))</f>
        <v>0</v>
      </c>
      <c r="H419" cm="1">
        <f t="array" aca="1" ref="H419" ca="1">INDIRECT(ADDRESS(myRAND(1,H$2,H$8:H$9)+5,H$1))</f>
        <v>0</v>
      </c>
      <c r="I419" cm="1">
        <f t="array" aca="1" ref="I419" ca="1">INDIRECT(ADDRESS(myRAND(1,I$2,I$8:I$9)+5,I$1))</f>
        <v>1</v>
      </c>
      <c r="J419">
        <f t="shared" ca="1" si="66"/>
        <v>17</v>
      </c>
      <c r="K419">
        <f t="shared" ca="1" si="66"/>
        <v>197</v>
      </c>
      <c r="L419" s="3">
        <f t="shared" ca="1" si="68"/>
        <v>1</v>
      </c>
      <c r="M419" s="13">
        <f t="shared" ca="1" si="69"/>
        <v>0.1312444694385233</v>
      </c>
      <c r="N419">
        <f t="shared" ca="1" si="70"/>
        <v>-1.8900000000000001</v>
      </c>
      <c r="O419">
        <f t="shared" ca="1" si="71"/>
        <v>1</v>
      </c>
      <c r="P419">
        <f t="shared" ca="1" si="72"/>
        <v>0</v>
      </c>
      <c r="Q419">
        <f t="shared" ca="1" si="73"/>
        <v>0</v>
      </c>
      <c r="R419">
        <f t="shared" ca="1" si="74"/>
        <v>0</v>
      </c>
      <c r="S419">
        <f t="shared" ca="1" si="75"/>
        <v>1</v>
      </c>
      <c r="T419" s="17">
        <f t="shared" ca="1" si="76"/>
        <v>4.8552380952380947</v>
      </c>
    </row>
    <row r="420" spans="2:20" x14ac:dyDescent="0.3">
      <c r="B420">
        <f t="shared" ca="1" si="67"/>
        <v>50</v>
      </c>
      <c r="C420" cm="1">
        <f t="array" aca="1" ref="C420" ca="1">INDIRECT(ADDRESS(myRAND(1,C$2,C$8:C$9)+5,C$1))</f>
        <v>0</v>
      </c>
      <c r="D420" cm="1">
        <f t="array" aca="1" ref="D420" ca="1">INDIRECT(ADDRESS(myRAND(1,D$2,D$8:D$9)+5,D$1))</f>
        <v>1</v>
      </c>
      <c r="E420" cm="1">
        <f t="array" aca="1" ref="E420" ca="1">INDIRECT(ADDRESS(myRAND(1,E$2,E$8:E$9)+5,E$1))</f>
        <v>1</v>
      </c>
      <c r="F420" cm="1">
        <f t="array" aca="1" ref="F420" ca="1">INDIRECT(ADDRESS(myRAND(1,F$2,F$8:F$9)+5,F$1))</f>
        <v>0</v>
      </c>
      <c r="G420" cm="1">
        <f t="array" aca="1" ref="G420" ca="1">INDIRECT(ADDRESS(myRAND(1,G$2,G$8:G$9)+5,G$1))</f>
        <v>0</v>
      </c>
      <c r="H420" cm="1">
        <f t="array" aca="1" ref="H420" ca="1">INDIRECT(ADDRESS(myRAND(1,H$2,H$8:H$9)+5,H$1))</f>
        <v>1</v>
      </c>
      <c r="I420" cm="1">
        <f t="array" aca="1" ref="I420" ca="1">INDIRECT(ADDRESS(myRAND(1,I$2,I$8:I$9)+5,I$1))</f>
        <v>0</v>
      </c>
      <c r="J420">
        <f t="shared" ca="1" si="66"/>
        <v>11</v>
      </c>
      <c r="K420">
        <f t="shared" ca="1" si="66"/>
        <v>213</v>
      </c>
      <c r="L420" s="3">
        <f t="shared" ca="1" si="68"/>
        <v>3</v>
      </c>
      <c r="M420" s="13">
        <f t="shared" ca="1" si="69"/>
        <v>0.3846162436088178</v>
      </c>
      <c r="N420">
        <f t="shared" ca="1" si="70"/>
        <v>-0.4700000000000002</v>
      </c>
      <c r="O420">
        <f t="shared" ca="1" si="71"/>
        <v>0</v>
      </c>
      <c r="P420">
        <f t="shared" ca="1" si="72"/>
        <v>1</v>
      </c>
      <c r="Q420">
        <f t="shared" ca="1" si="73"/>
        <v>0</v>
      </c>
      <c r="R420">
        <f t="shared" ca="1" si="74"/>
        <v>0</v>
      </c>
      <c r="S420">
        <f t="shared" ca="1" si="75"/>
        <v>1</v>
      </c>
      <c r="T420" s="17">
        <f t="shared" ca="1" si="76"/>
        <v>1.5714285714285712</v>
      </c>
    </row>
    <row r="421" spans="2:20" x14ac:dyDescent="0.3">
      <c r="B421">
        <f t="shared" ca="1" si="67"/>
        <v>46</v>
      </c>
      <c r="C421" cm="1">
        <f t="array" aca="1" ref="C421" ca="1">INDIRECT(ADDRESS(myRAND(1,C$2,C$8:C$9)+5,C$1))</f>
        <v>1</v>
      </c>
      <c r="D421" cm="1">
        <f t="array" aca="1" ref="D421" ca="1">INDIRECT(ADDRESS(myRAND(1,D$2,D$8:D$9)+5,D$1))</f>
        <v>1</v>
      </c>
      <c r="E421" cm="1">
        <f t="array" aca="1" ref="E421" ca="1">INDIRECT(ADDRESS(myRAND(1,E$2,E$8:E$9)+5,E$1))</f>
        <v>0</v>
      </c>
      <c r="F421" cm="1">
        <f t="array" aca="1" ref="F421" ca="1">INDIRECT(ADDRESS(myRAND(1,F$2,F$8:F$9)+5,F$1))</f>
        <v>1</v>
      </c>
      <c r="G421" cm="1">
        <f t="array" aca="1" ref="G421" ca="1">INDIRECT(ADDRESS(myRAND(1,G$2,G$8:G$9)+5,G$1))</f>
        <v>0</v>
      </c>
      <c r="H421" cm="1">
        <f t="array" aca="1" ref="H421" ca="1">INDIRECT(ADDRESS(myRAND(1,H$2,H$8:H$9)+5,H$1))</f>
        <v>0</v>
      </c>
      <c r="I421" cm="1">
        <f t="array" aca="1" ref="I421" ca="1">INDIRECT(ADDRESS(myRAND(1,I$2,I$8:I$9)+5,I$1))</f>
        <v>1</v>
      </c>
      <c r="J421">
        <f t="shared" ca="1" si="66"/>
        <v>14</v>
      </c>
      <c r="K421">
        <f t="shared" ca="1" si="66"/>
        <v>204</v>
      </c>
      <c r="L421" s="3">
        <f t="shared" ca="1" si="68"/>
        <v>3</v>
      </c>
      <c r="M421" s="13">
        <f t="shared" ca="1" si="69"/>
        <v>0.6704011598088685</v>
      </c>
      <c r="N421">
        <f t="shared" ca="1" si="70"/>
        <v>0.70999999999999974</v>
      </c>
      <c r="O421">
        <f t="shared" ca="1" si="71"/>
        <v>0</v>
      </c>
      <c r="P421">
        <f t="shared" ca="1" si="72"/>
        <v>1</v>
      </c>
      <c r="Q421">
        <f t="shared" ca="1" si="73"/>
        <v>0</v>
      </c>
      <c r="R421">
        <f t="shared" ca="1" si="74"/>
        <v>0</v>
      </c>
      <c r="S421">
        <f t="shared" ca="1" si="75"/>
        <v>1</v>
      </c>
      <c r="T421" s="17">
        <f t="shared" ca="1" si="76"/>
        <v>5.6885714285714286</v>
      </c>
    </row>
    <row r="422" spans="2:20" x14ac:dyDescent="0.3">
      <c r="B422">
        <f t="shared" ca="1" si="67"/>
        <v>48</v>
      </c>
      <c r="C422" cm="1">
        <f t="array" aca="1" ref="C422" ca="1">INDIRECT(ADDRESS(myRAND(1,C$2,C$8:C$9)+5,C$1))</f>
        <v>0</v>
      </c>
      <c r="D422" cm="1">
        <f t="array" aca="1" ref="D422" ca="1">INDIRECT(ADDRESS(myRAND(1,D$2,D$8:D$9)+5,D$1))</f>
        <v>0</v>
      </c>
      <c r="E422" cm="1">
        <f t="array" aca="1" ref="E422" ca="1">INDIRECT(ADDRESS(myRAND(1,E$2,E$8:E$9)+5,E$1))</f>
        <v>0</v>
      </c>
      <c r="F422" cm="1">
        <f t="array" aca="1" ref="F422" ca="1">INDIRECT(ADDRESS(myRAND(1,F$2,F$8:F$9)+5,F$1))</f>
        <v>1</v>
      </c>
      <c r="G422" cm="1">
        <f t="array" aca="1" ref="G422" ca="1">INDIRECT(ADDRESS(myRAND(1,G$2,G$8:G$9)+5,G$1))</f>
        <v>0</v>
      </c>
      <c r="H422" cm="1">
        <f t="array" aca="1" ref="H422" ca="1">INDIRECT(ADDRESS(myRAND(1,H$2,H$8:H$9)+5,H$1))</f>
        <v>0</v>
      </c>
      <c r="I422" cm="1">
        <f t="array" aca="1" ref="I422" ca="1">INDIRECT(ADDRESS(myRAND(1,I$2,I$8:I$9)+5,I$1))</f>
        <v>1</v>
      </c>
      <c r="J422">
        <f t="shared" ca="1" si="66"/>
        <v>22</v>
      </c>
      <c r="K422">
        <f t="shared" ca="1" si="66"/>
        <v>213</v>
      </c>
      <c r="L422" s="3">
        <f t="shared" ca="1" si="68"/>
        <v>1</v>
      </c>
      <c r="M422" s="13">
        <f t="shared" ca="1" si="69"/>
        <v>7.9438549183978358E-2</v>
      </c>
      <c r="N422">
        <f t="shared" ca="1" si="70"/>
        <v>-2.4500000000000002</v>
      </c>
      <c r="O422">
        <f t="shared" ca="1" si="71"/>
        <v>0</v>
      </c>
      <c r="P422">
        <f t="shared" ca="1" si="72"/>
        <v>0</v>
      </c>
      <c r="Q422">
        <f t="shared" ca="1" si="73"/>
        <v>1</v>
      </c>
      <c r="R422">
        <f t="shared" ca="1" si="74"/>
        <v>0</v>
      </c>
      <c r="S422">
        <f t="shared" ca="1" si="75"/>
        <v>1</v>
      </c>
      <c r="T422" s="17">
        <f t="shared" ca="1" si="76"/>
        <v>5.2847619047619041</v>
      </c>
    </row>
    <row r="423" spans="2:20" x14ac:dyDescent="0.3">
      <c r="B423">
        <f t="shared" ca="1" si="67"/>
        <v>45</v>
      </c>
      <c r="C423" cm="1">
        <f t="array" aca="1" ref="C423" ca="1">INDIRECT(ADDRESS(myRAND(1,C$2,C$8:C$9)+5,C$1))</f>
        <v>1</v>
      </c>
      <c r="D423" cm="1">
        <f t="array" aca="1" ref="D423" ca="1">INDIRECT(ADDRESS(myRAND(1,D$2,D$8:D$9)+5,D$1))</f>
        <v>1</v>
      </c>
      <c r="E423" cm="1">
        <f t="array" aca="1" ref="E423" ca="1">INDIRECT(ADDRESS(myRAND(1,E$2,E$8:E$9)+5,E$1))</f>
        <v>1</v>
      </c>
      <c r="F423" cm="1">
        <f t="array" aca="1" ref="F423" ca="1">INDIRECT(ADDRESS(myRAND(1,F$2,F$8:F$9)+5,F$1))</f>
        <v>0</v>
      </c>
      <c r="G423" cm="1">
        <f t="array" aca="1" ref="G423" ca="1">INDIRECT(ADDRESS(myRAND(1,G$2,G$8:G$9)+5,G$1))</f>
        <v>1</v>
      </c>
      <c r="H423" cm="1">
        <f t="array" aca="1" ref="H423" ca="1">INDIRECT(ADDRESS(myRAND(1,H$2,H$8:H$9)+5,H$1))</f>
        <v>0</v>
      </c>
      <c r="I423" cm="1">
        <f t="array" aca="1" ref="I423" ca="1">INDIRECT(ADDRESS(myRAND(1,I$2,I$8:I$9)+5,I$1))</f>
        <v>0</v>
      </c>
      <c r="J423">
        <f t="shared" ca="1" si="66"/>
        <v>16</v>
      </c>
      <c r="K423">
        <f t="shared" ca="1" si="66"/>
        <v>228</v>
      </c>
      <c r="L423" s="3">
        <f t="shared" ca="1" si="68"/>
        <v>3</v>
      </c>
      <c r="M423" s="13">
        <f t="shared" ca="1" si="69"/>
        <v>0.66150315920295233</v>
      </c>
      <c r="N423">
        <f t="shared" ca="1" si="70"/>
        <v>0.66999999999999971</v>
      </c>
      <c r="O423">
        <f t="shared" ca="1" si="71"/>
        <v>0</v>
      </c>
      <c r="P423">
        <f t="shared" ca="1" si="72"/>
        <v>1</v>
      </c>
      <c r="Q423">
        <f t="shared" ca="1" si="73"/>
        <v>0</v>
      </c>
      <c r="R423">
        <f t="shared" ca="1" si="74"/>
        <v>0</v>
      </c>
      <c r="S423">
        <f t="shared" ca="1" si="75"/>
        <v>1</v>
      </c>
      <c r="T423" s="17">
        <f t="shared" ca="1" si="76"/>
        <v>2.9261904761904765</v>
      </c>
    </row>
    <row r="424" spans="2:20" x14ac:dyDescent="0.3">
      <c r="B424">
        <f t="shared" ca="1" si="67"/>
        <v>47</v>
      </c>
      <c r="C424" cm="1">
        <f t="array" aca="1" ref="C424" ca="1">INDIRECT(ADDRESS(myRAND(1,C$2,C$8:C$9)+5,C$1))</f>
        <v>0</v>
      </c>
      <c r="D424" cm="1">
        <f t="array" aca="1" ref="D424" ca="1">INDIRECT(ADDRESS(myRAND(1,D$2,D$8:D$9)+5,D$1))</f>
        <v>0</v>
      </c>
      <c r="E424" cm="1">
        <f t="array" aca="1" ref="E424" ca="1">INDIRECT(ADDRESS(myRAND(1,E$2,E$8:E$9)+5,E$1))</f>
        <v>1</v>
      </c>
      <c r="F424" cm="1">
        <f t="array" aca="1" ref="F424" ca="1">INDIRECT(ADDRESS(myRAND(1,F$2,F$8:F$9)+5,F$1))</f>
        <v>1</v>
      </c>
      <c r="G424" cm="1">
        <f t="array" aca="1" ref="G424" ca="1">INDIRECT(ADDRESS(myRAND(1,G$2,G$8:G$9)+5,G$1))</f>
        <v>0</v>
      </c>
      <c r="H424" cm="1">
        <f t="array" aca="1" ref="H424" ca="1">INDIRECT(ADDRESS(myRAND(1,H$2,H$8:H$9)+5,H$1))</f>
        <v>0</v>
      </c>
      <c r="I424" cm="1">
        <f t="array" aca="1" ref="I424" ca="1">INDIRECT(ADDRESS(myRAND(1,I$2,I$8:I$9)+5,I$1))</f>
        <v>1</v>
      </c>
      <c r="J424">
        <f t="shared" ca="1" si="66"/>
        <v>16</v>
      </c>
      <c r="K424">
        <f t="shared" ca="1" si="66"/>
        <v>226</v>
      </c>
      <c r="L424" s="3">
        <f t="shared" ca="1" si="68"/>
        <v>2</v>
      </c>
      <c r="M424" s="13">
        <f t="shared" ca="1" si="69"/>
        <v>0.35663485430559816</v>
      </c>
      <c r="N424">
        <f t="shared" ca="1" si="70"/>
        <v>-0.5900000000000003</v>
      </c>
      <c r="O424">
        <f t="shared" ca="1" si="71"/>
        <v>0</v>
      </c>
      <c r="P424">
        <f t="shared" ca="1" si="72"/>
        <v>1</v>
      </c>
      <c r="Q424">
        <f t="shared" ca="1" si="73"/>
        <v>0</v>
      </c>
      <c r="R424">
        <f t="shared" ca="1" si="74"/>
        <v>0</v>
      </c>
      <c r="S424">
        <f t="shared" ca="1" si="75"/>
        <v>1</v>
      </c>
      <c r="T424" s="17">
        <f t="shared" ca="1" si="76"/>
        <v>4.9366666666666665</v>
      </c>
    </row>
    <row r="425" spans="2:20" x14ac:dyDescent="0.3">
      <c r="B425">
        <f t="shared" ca="1" si="67"/>
        <v>40</v>
      </c>
      <c r="C425" cm="1">
        <f t="array" aca="1" ref="C425" ca="1">INDIRECT(ADDRESS(myRAND(1,C$2,C$8:C$9)+5,C$1))</f>
        <v>0</v>
      </c>
      <c r="D425" cm="1">
        <f t="array" aca="1" ref="D425" ca="1">INDIRECT(ADDRESS(myRAND(1,D$2,D$8:D$9)+5,D$1))</f>
        <v>0</v>
      </c>
      <c r="E425" cm="1">
        <f t="array" aca="1" ref="E425" ca="1">INDIRECT(ADDRESS(myRAND(1,E$2,E$8:E$9)+5,E$1))</f>
        <v>0</v>
      </c>
      <c r="F425" cm="1">
        <f t="array" aca="1" ref="F425" ca="1">INDIRECT(ADDRESS(myRAND(1,F$2,F$8:F$9)+5,F$1))</f>
        <v>1</v>
      </c>
      <c r="G425" cm="1">
        <f t="array" aca="1" ref="G425" ca="1">INDIRECT(ADDRESS(myRAND(1,G$2,G$8:G$9)+5,G$1))</f>
        <v>0</v>
      </c>
      <c r="H425" cm="1">
        <f t="array" aca="1" ref="H425" ca="1">INDIRECT(ADDRESS(myRAND(1,H$2,H$8:H$9)+5,H$1))</f>
        <v>0</v>
      </c>
      <c r="I425" cm="1">
        <f t="array" aca="1" ref="I425" ca="1">INDIRECT(ADDRESS(myRAND(1,I$2,I$8:I$9)+5,I$1))</f>
        <v>1</v>
      </c>
      <c r="J425">
        <f t="shared" ca="1" si="66"/>
        <v>15</v>
      </c>
      <c r="K425">
        <f t="shared" ca="1" si="66"/>
        <v>199</v>
      </c>
      <c r="L425" s="3">
        <f t="shared" ca="1" si="68"/>
        <v>1</v>
      </c>
      <c r="M425" s="13">
        <f t="shared" ca="1" si="69"/>
        <v>5.8967013464791759E-2</v>
      </c>
      <c r="N425">
        <f t="shared" ca="1" si="70"/>
        <v>-2.77</v>
      </c>
      <c r="O425">
        <f t="shared" ca="1" si="71"/>
        <v>0</v>
      </c>
      <c r="P425">
        <f t="shared" ca="1" si="72"/>
        <v>0</v>
      </c>
      <c r="Q425">
        <f t="shared" ca="1" si="73"/>
        <v>1</v>
      </c>
      <c r="R425">
        <f t="shared" ca="1" si="74"/>
        <v>0</v>
      </c>
      <c r="S425">
        <f t="shared" ca="1" si="75"/>
        <v>1</v>
      </c>
      <c r="T425" s="17">
        <f t="shared" ca="1" si="76"/>
        <v>4.6714285714285717</v>
      </c>
    </row>
    <row r="426" spans="2:20" x14ac:dyDescent="0.3">
      <c r="B426">
        <f t="shared" ca="1" si="67"/>
        <v>62</v>
      </c>
      <c r="C426" cm="1">
        <f t="array" aca="1" ref="C426" ca="1">INDIRECT(ADDRESS(myRAND(1,C$2,C$8:C$9)+5,C$1))</f>
        <v>0</v>
      </c>
      <c r="D426" cm="1">
        <f t="array" aca="1" ref="D426" ca="1">INDIRECT(ADDRESS(myRAND(1,D$2,D$8:D$9)+5,D$1))</f>
        <v>0</v>
      </c>
      <c r="E426" cm="1">
        <f t="array" aca="1" ref="E426" ca="1">INDIRECT(ADDRESS(myRAND(1,E$2,E$8:E$9)+5,E$1))</f>
        <v>0</v>
      </c>
      <c r="F426" cm="1">
        <f t="array" aca="1" ref="F426" ca="1">INDIRECT(ADDRESS(myRAND(1,F$2,F$8:F$9)+5,F$1))</f>
        <v>0</v>
      </c>
      <c r="G426" cm="1">
        <f t="array" aca="1" ref="G426" ca="1">INDIRECT(ADDRESS(myRAND(1,G$2,G$8:G$9)+5,G$1))</f>
        <v>1</v>
      </c>
      <c r="H426" cm="1">
        <f t="array" aca="1" ref="H426" ca="1">INDIRECT(ADDRESS(myRAND(1,H$2,H$8:H$9)+5,H$1))</f>
        <v>0</v>
      </c>
      <c r="I426" cm="1">
        <f t="array" aca="1" ref="I426" ca="1">INDIRECT(ADDRESS(myRAND(1,I$2,I$8:I$9)+5,I$1))</f>
        <v>1</v>
      </c>
      <c r="J426">
        <f t="shared" ca="1" si="66"/>
        <v>19</v>
      </c>
      <c r="K426">
        <f t="shared" ca="1" si="66"/>
        <v>228</v>
      </c>
      <c r="L426" s="3">
        <f t="shared" ca="1" si="68"/>
        <v>1</v>
      </c>
      <c r="M426" s="13">
        <f t="shared" ca="1" si="69"/>
        <v>0.1312444694385233</v>
      </c>
      <c r="N426">
        <f t="shared" ca="1" si="70"/>
        <v>-1.8900000000000001</v>
      </c>
      <c r="O426">
        <f t="shared" ca="1" si="71"/>
        <v>0</v>
      </c>
      <c r="P426">
        <f t="shared" ca="1" si="72"/>
        <v>0</v>
      </c>
      <c r="Q426">
        <f t="shared" ca="1" si="73"/>
        <v>0</v>
      </c>
      <c r="R426">
        <f t="shared" ca="1" si="74"/>
        <v>0</v>
      </c>
      <c r="S426">
        <f t="shared" ca="1" si="75"/>
        <v>2</v>
      </c>
      <c r="T426" s="17">
        <f t="shared" ca="1" si="76"/>
        <v>5.2961904761904766</v>
      </c>
    </row>
    <row r="427" spans="2:20" x14ac:dyDescent="0.3">
      <c r="B427">
        <f t="shared" ca="1" si="67"/>
        <v>53</v>
      </c>
      <c r="C427" cm="1">
        <f t="array" aca="1" ref="C427" ca="1">INDIRECT(ADDRESS(myRAND(1,C$2,C$8:C$9)+5,C$1))</f>
        <v>1</v>
      </c>
      <c r="D427" cm="1">
        <f t="array" aca="1" ref="D427" ca="1">INDIRECT(ADDRESS(myRAND(1,D$2,D$8:D$9)+5,D$1))</f>
        <v>0</v>
      </c>
      <c r="E427" cm="1">
        <f t="array" aca="1" ref="E427" ca="1">INDIRECT(ADDRESS(myRAND(1,E$2,E$8:E$9)+5,E$1))</f>
        <v>0</v>
      </c>
      <c r="F427" cm="1">
        <f t="array" aca="1" ref="F427" ca="1">INDIRECT(ADDRESS(myRAND(1,F$2,F$8:F$9)+5,F$1))</f>
        <v>1</v>
      </c>
      <c r="G427" cm="1">
        <f t="array" aca="1" ref="G427" ca="1">INDIRECT(ADDRESS(myRAND(1,G$2,G$8:G$9)+5,G$1))</f>
        <v>1</v>
      </c>
      <c r="H427" cm="1">
        <f t="array" aca="1" ref="H427" ca="1">INDIRECT(ADDRESS(myRAND(1,H$2,H$8:H$9)+5,H$1))</f>
        <v>0</v>
      </c>
      <c r="I427" cm="1">
        <f t="array" aca="1" ref="I427" ca="1">INDIRECT(ADDRESS(myRAND(1,I$2,I$8:I$9)+5,I$1))</f>
        <v>1</v>
      </c>
      <c r="J427">
        <f t="shared" ca="1" si="66"/>
        <v>12</v>
      </c>
      <c r="K427">
        <f t="shared" ca="1" si="66"/>
        <v>210</v>
      </c>
      <c r="L427" s="3">
        <f t="shared" ca="1" si="68"/>
        <v>2</v>
      </c>
      <c r="M427" s="13">
        <f t="shared" ca="1" si="69"/>
        <v>0.28699983724771833</v>
      </c>
      <c r="N427">
        <f t="shared" ca="1" si="70"/>
        <v>-0.90999999999999992</v>
      </c>
      <c r="O427">
        <f t="shared" ca="1" si="71"/>
        <v>0</v>
      </c>
      <c r="P427">
        <f t="shared" ca="1" si="72"/>
        <v>0</v>
      </c>
      <c r="Q427">
        <f t="shared" ca="1" si="73"/>
        <v>1</v>
      </c>
      <c r="R427">
        <f t="shared" ca="1" si="74"/>
        <v>0</v>
      </c>
      <c r="S427">
        <f t="shared" ca="1" si="75"/>
        <v>2</v>
      </c>
      <c r="T427" s="17">
        <f t="shared" ca="1" si="76"/>
        <v>5.6538095238095236</v>
      </c>
    </row>
    <row r="428" spans="2:20" x14ac:dyDescent="0.3">
      <c r="B428">
        <f t="shared" ca="1" si="67"/>
        <v>49</v>
      </c>
      <c r="C428" cm="1">
        <f t="array" aca="1" ref="C428" ca="1">INDIRECT(ADDRESS(myRAND(1,C$2,C$8:C$9)+5,C$1))</f>
        <v>1</v>
      </c>
      <c r="D428" cm="1">
        <f t="array" aca="1" ref="D428" ca="1">INDIRECT(ADDRESS(myRAND(1,D$2,D$8:D$9)+5,D$1))</f>
        <v>0</v>
      </c>
      <c r="E428" cm="1">
        <f t="array" aca="1" ref="E428" ca="1">INDIRECT(ADDRESS(myRAND(1,E$2,E$8:E$9)+5,E$1))</f>
        <v>0</v>
      </c>
      <c r="F428" cm="1">
        <f t="array" aca="1" ref="F428" ca="1">INDIRECT(ADDRESS(myRAND(1,F$2,F$8:F$9)+5,F$1))</f>
        <v>0</v>
      </c>
      <c r="G428" cm="1">
        <f t="array" aca="1" ref="G428" ca="1">INDIRECT(ADDRESS(myRAND(1,G$2,G$8:G$9)+5,G$1))</f>
        <v>0</v>
      </c>
      <c r="H428" cm="1">
        <f t="array" aca="1" ref="H428" ca="1">INDIRECT(ADDRESS(myRAND(1,H$2,H$8:H$9)+5,H$1))</f>
        <v>1</v>
      </c>
      <c r="I428" cm="1">
        <f t="array" aca="1" ref="I428" ca="1">INDIRECT(ADDRESS(myRAND(1,I$2,I$8:I$9)+5,I$1))</f>
        <v>1</v>
      </c>
      <c r="J428">
        <f t="shared" ca="1" si="66"/>
        <v>18</v>
      </c>
      <c r="K428">
        <f t="shared" ca="1" si="66"/>
        <v>222</v>
      </c>
      <c r="L428" s="3">
        <f t="shared" ca="1" si="68"/>
        <v>3</v>
      </c>
      <c r="M428" s="13">
        <f t="shared" ca="1" si="69"/>
        <v>0.25540308417252405</v>
      </c>
      <c r="N428">
        <f t="shared" ca="1" si="70"/>
        <v>-1.07</v>
      </c>
      <c r="O428">
        <f t="shared" ca="1" si="71"/>
        <v>0</v>
      </c>
      <c r="P428">
        <f t="shared" ca="1" si="72"/>
        <v>0</v>
      </c>
      <c r="Q428">
        <f t="shared" ca="1" si="73"/>
        <v>0</v>
      </c>
      <c r="R428">
        <f t="shared" ca="1" si="74"/>
        <v>1</v>
      </c>
      <c r="S428">
        <f t="shared" ca="1" si="75"/>
        <v>2</v>
      </c>
      <c r="T428" s="17">
        <f t="shared" ca="1" si="76"/>
        <v>6.0709523809523809</v>
      </c>
    </row>
    <row r="429" spans="2:20" x14ac:dyDescent="0.3">
      <c r="B429">
        <f t="shared" ca="1" si="67"/>
        <v>34</v>
      </c>
      <c r="C429" cm="1">
        <f t="array" aca="1" ref="C429" ca="1">INDIRECT(ADDRESS(myRAND(1,C$2,C$8:C$9)+5,C$1))</f>
        <v>0</v>
      </c>
      <c r="D429" cm="1">
        <f t="array" aca="1" ref="D429" ca="1">INDIRECT(ADDRESS(myRAND(1,D$2,D$8:D$9)+5,D$1))</f>
        <v>0</v>
      </c>
      <c r="E429" cm="1">
        <f t="array" aca="1" ref="E429" ca="1">INDIRECT(ADDRESS(myRAND(1,E$2,E$8:E$9)+5,E$1))</f>
        <v>1</v>
      </c>
      <c r="F429" cm="1">
        <f t="array" aca="1" ref="F429" ca="1">INDIRECT(ADDRESS(myRAND(1,F$2,F$8:F$9)+5,F$1))</f>
        <v>1</v>
      </c>
      <c r="G429" cm="1">
        <f t="array" aca="1" ref="G429" ca="1">INDIRECT(ADDRESS(myRAND(1,G$2,G$8:G$9)+5,G$1))</f>
        <v>0</v>
      </c>
      <c r="H429" cm="1">
        <f t="array" aca="1" ref="H429" ca="1">INDIRECT(ADDRESS(myRAND(1,H$2,H$8:H$9)+5,H$1))</f>
        <v>1</v>
      </c>
      <c r="I429" cm="1">
        <f t="array" aca="1" ref="I429" ca="1">INDIRECT(ADDRESS(myRAND(1,I$2,I$8:I$9)+5,I$1))</f>
        <v>0</v>
      </c>
      <c r="J429">
        <f t="shared" ca="1" si="66"/>
        <v>18</v>
      </c>
      <c r="K429">
        <f t="shared" ca="1" si="66"/>
        <v>203</v>
      </c>
      <c r="L429" s="3">
        <f t="shared" ca="1" si="68"/>
        <v>3</v>
      </c>
      <c r="M429" s="13">
        <f t="shared" ca="1" si="69"/>
        <v>0.24787088856042985</v>
      </c>
      <c r="N429">
        <f t="shared" ca="1" si="70"/>
        <v>-1.1099999999999999</v>
      </c>
      <c r="O429">
        <f t="shared" ca="1" si="71"/>
        <v>0</v>
      </c>
      <c r="P429">
        <f t="shared" ca="1" si="72"/>
        <v>1</v>
      </c>
      <c r="Q429">
        <f t="shared" ca="1" si="73"/>
        <v>0</v>
      </c>
      <c r="R429">
        <f t="shared" ca="1" si="74"/>
        <v>0</v>
      </c>
      <c r="S429">
        <f t="shared" ca="1" si="75"/>
        <v>1</v>
      </c>
      <c r="T429" s="17">
        <f t="shared" ca="1" si="76"/>
        <v>1.8304761904761904</v>
      </c>
    </row>
    <row r="430" spans="2:20" x14ac:dyDescent="0.3">
      <c r="B430">
        <f t="shared" ca="1" si="67"/>
        <v>45</v>
      </c>
      <c r="C430" cm="1">
        <f t="array" aca="1" ref="C430" ca="1">INDIRECT(ADDRESS(myRAND(1,C$2,C$8:C$9)+5,C$1))</f>
        <v>1</v>
      </c>
      <c r="D430" cm="1">
        <f t="array" aca="1" ref="D430" ca="1">INDIRECT(ADDRESS(myRAND(1,D$2,D$8:D$9)+5,D$1))</f>
        <v>0</v>
      </c>
      <c r="E430" cm="1">
        <f t="array" aca="1" ref="E430" ca="1">INDIRECT(ADDRESS(myRAND(1,E$2,E$8:E$9)+5,E$1))</f>
        <v>1</v>
      </c>
      <c r="F430" cm="1">
        <f t="array" aca="1" ref="F430" ca="1">INDIRECT(ADDRESS(myRAND(1,F$2,F$8:F$9)+5,F$1))</f>
        <v>1</v>
      </c>
      <c r="G430" cm="1">
        <f t="array" aca="1" ref="G430" ca="1">INDIRECT(ADDRESS(myRAND(1,G$2,G$8:G$9)+5,G$1))</f>
        <v>0</v>
      </c>
      <c r="H430" cm="1">
        <f t="array" aca="1" ref="H430" ca="1">INDIRECT(ADDRESS(myRAND(1,H$2,H$8:H$9)+5,H$1))</f>
        <v>1</v>
      </c>
      <c r="I430" cm="1">
        <f t="array" aca="1" ref="I430" ca="1">INDIRECT(ADDRESS(myRAND(1,I$2,I$8:I$9)+5,I$1))</f>
        <v>1</v>
      </c>
      <c r="J430">
        <f t="shared" ca="1" si="66"/>
        <v>18</v>
      </c>
      <c r="K430">
        <f t="shared" ca="1" si="66"/>
        <v>193</v>
      </c>
      <c r="L430" s="3">
        <f t="shared" ca="1" si="68"/>
        <v>3</v>
      </c>
      <c r="M430" s="13">
        <f t="shared" ca="1" si="69"/>
        <v>0.66150315920295233</v>
      </c>
      <c r="N430">
        <f t="shared" ca="1" si="70"/>
        <v>0.66999999999999971</v>
      </c>
      <c r="O430">
        <f t="shared" ca="1" si="71"/>
        <v>0</v>
      </c>
      <c r="P430">
        <f t="shared" ca="1" si="72"/>
        <v>1</v>
      </c>
      <c r="Q430">
        <f t="shared" ca="1" si="73"/>
        <v>0</v>
      </c>
      <c r="R430">
        <f t="shared" ca="1" si="74"/>
        <v>0</v>
      </c>
      <c r="S430">
        <f t="shared" ca="1" si="75"/>
        <v>2</v>
      </c>
      <c r="T430" s="17">
        <f t="shared" ca="1" si="76"/>
        <v>5.8928571428571423</v>
      </c>
    </row>
    <row r="431" spans="2:20" x14ac:dyDescent="0.3">
      <c r="B431">
        <f t="shared" ca="1" si="67"/>
        <v>37</v>
      </c>
      <c r="C431" cm="1">
        <f t="array" aca="1" ref="C431" ca="1">INDIRECT(ADDRESS(myRAND(1,C$2,C$8:C$9)+5,C$1))</f>
        <v>1</v>
      </c>
      <c r="D431" cm="1">
        <f t="array" aca="1" ref="D431" ca="1">INDIRECT(ADDRESS(myRAND(1,D$2,D$8:D$9)+5,D$1))</f>
        <v>0</v>
      </c>
      <c r="E431" cm="1">
        <f t="array" aca="1" ref="E431" ca="1">INDIRECT(ADDRESS(myRAND(1,E$2,E$8:E$9)+5,E$1))</f>
        <v>0</v>
      </c>
      <c r="F431" cm="1">
        <f t="array" aca="1" ref="F431" ca="1">INDIRECT(ADDRESS(myRAND(1,F$2,F$8:F$9)+5,F$1))</f>
        <v>1</v>
      </c>
      <c r="G431" cm="1">
        <f t="array" aca="1" ref="G431" ca="1">INDIRECT(ADDRESS(myRAND(1,G$2,G$8:G$9)+5,G$1))</f>
        <v>1</v>
      </c>
      <c r="H431" cm="1">
        <f t="array" aca="1" ref="H431" ca="1">INDIRECT(ADDRESS(myRAND(1,H$2,H$8:H$9)+5,H$1))</f>
        <v>0</v>
      </c>
      <c r="I431" cm="1">
        <f t="array" aca="1" ref="I431" ca="1">INDIRECT(ADDRESS(myRAND(1,I$2,I$8:I$9)+5,I$1))</f>
        <v>1</v>
      </c>
      <c r="J431">
        <f t="shared" ca="1" si="66"/>
        <v>14</v>
      </c>
      <c r="K431">
        <f t="shared" ca="1" si="66"/>
        <v>168</v>
      </c>
      <c r="L431" s="3">
        <f t="shared" ca="1" si="68"/>
        <v>2</v>
      </c>
      <c r="M431" s="13">
        <f t="shared" ca="1" si="69"/>
        <v>0.1750862681640398</v>
      </c>
      <c r="N431">
        <f t="shared" ca="1" si="70"/>
        <v>-1.55</v>
      </c>
      <c r="O431">
        <f t="shared" ca="1" si="71"/>
        <v>0</v>
      </c>
      <c r="P431">
        <f t="shared" ca="1" si="72"/>
        <v>0</v>
      </c>
      <c r="Q431">
        <f t="shared" ca="1" si="73"/>
        <v>1</v>
      </c>
      <c r="R431">
        <f t="shared" ca="1" si="74"/>
        <v>0</v>
      </c>
      <c r="S431">
        <f t="shared" ca="1" si="75"/>
        <v>2</v>
      </c>
      <c r="T431" s="17">
        <f t="shared" ca="1" si="76"/>
        <v>5.427142857142857</v>
      </c>
    </row>
    <row r="432" spans="2:20" x14ac:dyDescent="0.3">
      <c r="B432">
        <f t="shared" ca="1" si="67"/>
        <v>54</v>
      </c>
      <c r="C432" cm="1">
        <f t="array" aca="1" ref="C432" ca="1">INDIRECT(ADDRESS(myRAND(1,C$2,C$8:C$9)+5,C$1))</f>
        <v>1</v>
      </c>
      <c r="D432" cm="1">
        <f t="array" aca="1" ref="D432" ca="1">INDIRECT(ADDRESS(myRAND(1,D$2,D$8:D$9)+5,D$1))</f>
        <v>1</v>
      </c>
      <c r="E432" cm="1">
        <f t="array" aca="1" ref="E432" ca="1">INDIRECT(ADDRESS(myRAND(1,E$2,E$8:E$9)+5,E$1))</f>
        <v>1</v>
      </c>
      <c r="F432" cm="1">
        <f t="array" aca="1" ref="F432" ca="1">INDIRECT(ADDRESS(myRAND(1,F$2,F$8:F$9)+5,F$1))</f>
        <v>0</v>
      </c>
      <c r="G432" cm="1">
        <f t="array" aca="1" ref="G432" ca="1">INDIRECT(ADDRESS(myRAND(1,G$2,G$8:G$9)+5,G$1))</f>
        <v>1</v>
      </c>
      <c r="H432" cm="1">
        <f t="array" aca="1" ref="H432" ca="1">INDIRECT(ADDRESS(myRAND(1,H$2,H$8:H$9)+5,H$1))</f>
        <v>0</v>
      </c>
      <c r="I432" cm="1">
        <f t="array" aca="1" ref="I432" ca="1">INDIRECT(ADDRESS(myRAND(1,I$2,I$8:I$9)+5,I$1))</f>
        <v>1</v>
      </c>
      <c r="J432">
        <f t="shared" ca="1" si="66"/>
        <v>17</v>
      </c>
      <c r="K432">
        <f t="shared" ca="1" si="66"/>
        <v>180</v>
      </c>
      <c r="L432" s="3">
        <f t="shared" ca="1" si="68"/>
        <v>3</v>
      </c>
      <c r="M432" s="13">
        <f t="shared" ca="1" si="69"/>
        <v>0.73691589583342021</v>
      </c>
      <c r="N432">
        <f t="shared" ca="1" si="70"/>
        <v>1.03</v>
      </c>
      <c r="O432">
        <f t="shared" ca="1" si="71"/>
        <v>0</v>
      </c>
      <c r="P432">
        <f t="shared" ca="1" si="72"/>
        <v>1</v>
      </c>
      <c r="Q432">
        <f t="shared" ca="1" si="73"/>
        <v>0</v>
      </c>
      <c r="R432">
        <f t="shared" ca="1" si="74"/>
        <v>0</v>
      </c>
      <c r="S432">
        <f t="shared" ca="1" si="75"/>
        <v>2</v>
      </c>
      <c r="T432" s="17">
        <f t="shared" ca="1" si="76"/>
        <v>5.8542857142857141</v>
      </c>
    </row>
    <row r="433" spans="2:20" x14ac:dyDescent="0.3">
      <c r="B433">
        <f t="shared" ca="1" si="67"/>
        <v>37</v>
      </c>
      <c r="C433" cm="1">
        <f t="array" aca="1" ref="C433" ca="1">INDIRECT(ADDRESS(myRAND(1,C$2,C$8:C$9)+5,C$1))</f>
        <v>0</v>
      </c>
      <c r="D433" cm="1">
        <f t="array" aca="1" ref="D433" ca="1">INDIRECT(ADDRESS(myRAND(1,D$2,D$8:D$9)+5,D$1))</f>
        <v>0</v>
      </c>
      <c r="E433" cm="1">
        <f t="array" aca="1" ref="E433" ca="1">INDIRECT(ADDRESS(myRAND(1,E$2,E$8:E$9)+5,E$1))</f>
        <v>1</v>
      </c>
      <c r="F433" cm="1">
        <f t="array" aca="1" ref="F433" ca="1">INDIRECT(ADDRESS(myRAND(1,F$2,F$8:F$9)+5,F$1))</f>
        <v>0</v>
      </c>
      <c r="G433" cm="1">
        <f t="array" aca="1" ref="G433" ca="1">INDIRECT(ADDRESS(myRAND(1,G$2,G$8:G$9)+5,G$1))</f>
        <v>0</v>
      </c>
      <c r="H433" cm="1">
        <f t="array" aca="1" ref="H433" ca="1">INDIRECT(ADDRESS(myRAND(1,H$2,H$8:H$9)+5,H$1))</f>
        <v>0</v>
      </c>
      <c r="I433" cm="1">
        <f t="array" aca="1" ref="I433" ca="1">INDIRECT(ADDRESS(myRAND(1,I$2,I$8:I$9)+5,I$1))</f>
        <v>0</v>
      </c>
      <c r="J433">
        <f t="shared" ca="1" si="66"/>
        <v>13</v>
      </c>
      <c r="K433">
        <f t="shared" ca="1" si="66"/>
        <v>204</v>
      </c>
      <c r="L433" s="3">
        <f t="shared" ca="1" si="68"/>
        <v>1</v>
      </c>
      <c r="M433" s="13">
        <f t="shared" ca="1" si="69"/>
        <v>5.2650118435302901E-2</v>
      </c>
      <c r="N433">
        <f t="shared" ca="1" si="70"/>
        <v>-2.89</v>
      </c>
      <c r="O433">
        <f t="shared" ca="1" si="71"/>
        <v>0</v>
      </c>
      <c r="P433">
        <f t="shared" ca="1" si="72"/>
        <v>0</v>
      </c>
      <c r="Q433">
        <f t="shared" ca="1" si="73"/>
        <v>1</v>
      </c>
      <c r="R433">
        <f t="shared" ca="1" si="74"/>
        <v>0</v>
      </c>
      <c r="S433">
        <f t="shared" ca="1" si="75"/>
        <v>0</v>
      </c>
      <c r="T433" s="17">
        <f t="shared" ca="1" si="76"/>
        <v>1.5319047619047619</v>
      </c>
    </row>
    <row r="434" spans="2:20" x14ac:dyDescent="0.3">
      <c r="B434">
        <f t="shared" ca="1" si="67"/>
        <v>60</v>
      </c>
      <c r="C434" cm="1">
        <f t="array" aca="1" ref="C434" ca="1">INDIRECT(ADDRESS(myRAND(1,C$2,C$8:C$9)+5,C$1))</f>
        <v>0</v>
      </c>
      <c r="D434" cm="1">
        <f t="array" aca="1" ref="D434" ca="1">INDIRECT(ADDRESS(myRAND(1,D$2,D$8:D$9)+5,D$1))</f>
        <v>1</v>
      </c>
      <c r="E434" cm="1">
        <f t="array" aca="1" ref="E434" ca="1">INDIRECT(ADDRESS(myRAND(1,E$2,E$8:E$9)+5,E$1))</f>
        <v>1</v>
      </c>
      <c r="F434" cm="1">
        <f t="array" aca="1" ref="F434" ca="1">INDIRECT(ADDRESS(myRAND(1,F$2,F$8:F$9)+5,F$1))</f>
        <v>1</v>
      </c>
      <c r="G434" cm="1">
        <f t="array" aca="1" ref="G434" ca="1">INDIRECT(ADDRESS(myRAND(1,G$2,G$8:G$9)+5,G$1))</f>
        <v>0</v>
      </c>
      <c r="H434" cm="1">
        <f t="array" aca="1" ref="H434" ca="1">INDIRECT(ADDRESS(myRAND(1,H$2,H$8:H$9)+5,H$1))</f>
        <v>1</v>
      </c>
      <c r="I434" cm="1">
        <f t="array" aca="1" ref="I434" ca="1">INDIRECT(ADDRESS(myRAND(1,I$2,I$8:I$9)+5,I$1))</f>
        <v>0</v>
      </c>
      <c r="J434">
        <f t="shared" ca="1" si="66"/>
        <v>18</v>
      </c>
      <c r="K434">
        <f t="shared" ca="1" si="66"/>
        <v>227</v>
      </c>
      <c r="L434" s="3">
        <f t="shared" ca="1" si="68"/>
        <v>2</v>
      </c>
      <c r="M434" s="13">
        <f t="shared" ca="1" si="69"/>
        <v>0.2091593652130633</v>
      </c>
      <c r="N434">
        <f t="shared" ca="1" si="70"/>
        <v>-1.33</v>
      </c>
      <c r="O434">
        <f t="shared" ca="1" si="71"/>
        <v>1</v>
      </c>
      <c r="P434">
        <f t="shared" ca="1" si="72"/>
        <v>0</v>
      </c>
      <c r="Q434">
        <f t="shared" ca="1" si="73"/>
        <v>0</v>
      </c>
      <c r="R434">
        <f t="shared" ca="1" si="74"/>
        <v>0</v>
      </c>
      <c r="S434">
        <f t="shared" ca="1" si="75"/>
        <v>1</v>
      </c>
      <c r="T434" s="17">
        <f t="shared" ca="1" si="76"/>
        <v>2.2047619047619049</v>
      </c>
    </row>
    <row r="435" spans="2:20" x14ac:dyDescent="0.3">
      <c r="B435">
        <f t="shared" ca="1" si="67"/>
        <v>47</v>
      </c>
      <c r="C435" cm="1">
        <f t="array" aca="1" ref="C435" ca="1">INDIRECT(ADDRESS(myRAND(1,C$2,C$8:C$9)+5,C$1))</f>
        <v>0</v>
      </c>
      <c r="D435" cm="1">
        <f t="array" aca="1" ref="D435" ca="1">INDIRECT(ADDRESS(myRAND(1,D$2,D$8:D$9)+5,D$1))</f>
        <v>1</v>
      </c>
      <c r="E435" cm="1">
        <f t="array" aca="1" ref="E435" ca="1">INDIRECT(ADDRESS(myRAND(1,E$2,E$8:E$9)+5,E$1))</f>
        <v>0</v>
      </c>
      <c r="F435" cm="1">
        <f t="array" aca="1" ref="F435" ca="1">INDIRECT(ADDRESS(myRAND(1,F$2,F$8:F$9)+5,F$1))</f>
        <v>0</v>
      </c>
      <c r="G435" cm="1">
        <f t="array" aca="1" ref="G435" ca="1">INDIRECT(ADDRESS(myRAND(1,G$2,G$8:G$9)+5,G$1))</f>
        <v>1</v>
      </c>
      <c r="H435" cm="1">
        <f t="array" aca="1" ref="H435" ca="1">INDIRECT(ADDRESS(myRAND(1,H$2,H$8:H$9)+5,H$1))</f>
        <v>0</v>
      </c>
      <c r="I435" cm="1">
        <f t="array" aca="1" ref="I435" ca="1">INDIRECT(ADDRESS(myRAND(1,I$2,I$8:I$9)+5,I$1))</f>
        <v>1</v>
      </c>
      <c r="J435">
        <f t="shared" ca="1" si="66"/>
        <v>16</v>
      </c>
      <c r="K435">
        <f t="shared" ca="1" si="66"/>
        <v>228</v>
      </c>
      <c r="L435" s="3">
        <f t="shared" ca="1" si="68"/>
        <v>1</v>
      </c>
      <c r="M435" s="13">
        <f t="shared" ca="1" si="69"/>
        <v>7.6562197351812147E-2</v>
      </c>
      <c r="N435">
        <f t="shared" ca="1" si="70"/>
        <v>-2.4900000000000002</v>
      </c>
      <c r="O435">
        <f t="shared" ca="1" si="71"/>
        <v>0</v>
      </c>
      <c r="P435">
        <f t="shared" ca="1" si="72"/>
        <v>0</v>
      </c>
      <c r="Q435">
        <f t="shared" ca="1" si="73"/>
        <v>1</v>
      </c>
      <c r="R435">
        <f t="shared" ca="1" si="74"/>
        <v>0</v>
      </c>
      <c r="S435">
        <f t="shared" ca="1" si="75"/>
        <v>2</v>
      </c>
      <c r="T435" s="17">
        <f t="shared" ca="1" si="76"/>
        <v>4.946190476190476</v>
      </c>
    </row>
    <row r="436" spans="2:20" x14ac:dyDescent="0.3">
      <c r="B436">
        <f t="shared" ca="1" si="67"/>
        <v>56</v>
      </c>
      <c r="C436" cm="1">
        <f t="array" aca="1" ref="C436" ca="1">INDIRECT(ADDRESS(myRAND(1,C$2,C$8:C$9)+5,C$1))</f>
        <v>0</v>
      </c>
      <c r="D436" cm="1">
        <f t="array" aca="1" ref="D436" ca="1">INDIRECT(ADDRESS(myRAND(1,D$2,D$8:D$9)+5,D$1))</f>
        <v>0</v>
      </c>
      <c r="E436" cm="1">
        <f t="array" aca="1" ref="E436" ca="1">INDIRECT(ADDRESS(myRAND(1,E$2,E$8:E$9)+5,E$1))</f>
        <v>0</v>
      </c>
      <c r="F436" cm="1">
        <f t="array" aca="1" ref="F436" ca="1">INDIRECT(ADDRESS(myRAND(1,F$2,F$8:F$9)+5,F$1))</f>
        <v>1</v>
      </c>
      <c r="G436" cm="1">
        <f t="array" aca="1" ref="G436" ca="1">INDIRECT(ADDRESS(myRAND(1,G$2,G$8:G$9)+5,G$1))</f>
        <v>0</v>
      </c>
      <c r="H436" cm="1">
        <f t="array" aca="1" ref="H436" ca="1">INDIRECT(ADDRESS(myRAND(1,H$2,H$8:H$9)+5,H$1))</f>
        <v>1</v>
      </c>
      <c r="I436" cm="1">
        <f t="array" aca="1" ref="I436" ca="1">INDIRECT(ADDRESS(myRAND(1,I$2,I$8:I$9)+5,I$1))</f>
        <v>1</v>
      </c>
      <c r="J436">
        <f t="shared" ca="1" si="66"/>
        <v>16</v>
      </c>
      <c r="K436">
        <f t="shared" ca="1" si="66"/>
        <v>177</v>
      </c>
      <c r="L436" s="3">
        <f t="shared" ca="1" si="68"/>
        <v>1</v>
      </c>
      <c r="M436" s="13">
        <f t="shared" ca="1" si="69"/>
        <v>0.10621499167517556</v>
      </c>
      <c r="N436">
        <f t="shared" ca="1" si="70"/>
        <v>-2.13</v>
      </c>
      <c r="O436">
        <f t="shared" ca="1" si="71"/>
        <v>0</v>
      </c>
      <c r="P436">
        <f t="shared" ca="1" si="72"/>
        <v>0</v>
      </c>
      <c r="Q436">
        <f t="shared" ca="1" si="73"/>
        <v>1</v>
      </c>
      <c r="R436">
        <f t="shared" ca="1" si="74"/>
        <v>0</v>
      </c>
      <c r="S436">
        <f t="shared" ca="1" si="75"/>
        <v>2</v>
      </c>
      <c r="T436" s="17">
        <f t="shared" ca="1" si="76"/>
        <v>4.793333333333333</v>
      </c>
    </row>
    <row r="437" spans="2:20" x14ac:dyDescent="0.3">
      <c r="B437">
        <f t="shared" ca="1" si="67"/>
        <v>28</v>
      </c>
      <c r="C437" cm="1">
        <f t="array" aca="1" ref="C437" ca="1">INDIRECT(ADDRESS(myRAND(1,C$2,C$8:C$9)+5,C$1))</f>
        <v>1</v>
      </c>
      <c r="D437" cm="1">
        <f t="array" aca="1" ref="D437" ca="1">INDIRECT(ADDRESS(myRAND(1,D$2,D$8:D$9)+5,D$1))</f>
        <v>1</v>
      </c>
      <c r="E437" cm="1">
        <f t="array" aca="1" ref="E437" ca="1">INDIRECT(ADDRESS(myRAND(1,E$2,E$8:E$9)+5,E$1))</f>
        <v>0</v>
      </c>
      <c r="F437" cm="1">
        <f t="array" aca="1" ref="F437" ca="1">INDIRECT(ADDRESS(myRAND(1,F$2,F$8:F$9)+5,F$1))</f>
        <v>1</v>
      </c>
      <c r="G437" cm="1">
        <f t="array" aca="1" ref="G437" ca="1">INDIRECT(ADDRESS(myRAND(1,G$2,G$8:G$9)+5,G$1))</f>
        <v>0</v>
      </c>
      <c r="H437" cm="1">
        <f t="array" aca="1" ref="H437" ca="1">INDIRECT(ADDRESS(myRAND(1,H$2,H$8:H$9)+5,H$1))</f>
        <v>0</v>
      </c>
      <c r="I437" cm="1">
        <f t="array" aca="1" ref="I437" ca="1">INDIRECT(ADDRESS(myRAND(1,I$2,I$8:I$9)+5,I$1))</f>
        <v>1</v>
      </c>
      <c r="J437">
        <f t="shared" ca="1" si="66"/>
        <v>11</v>
      </c>
      <c r="K437">
        <f t="shared" ca="1" si="66"/>
        <v>211</v>
      </c>
      <c r="L437" s="3">
        <f t="shared" ca="1" si="68"/>
        <v>3</v>
      </c>
      <c r="M437" s="13">
        <f t="shared" ca="1" si="69"/>
        <v>0.49750002083312495</v>
      </c>
      <c r="N437">
        <f t="shared" ca="1" si="70"/>
        <v>-1.0000000000000009E-2</v>
      </c>
      <c r="O437">
        <f t="shared" ca="1" si="71"/>
        <v>0</v>
      </c>
      <c r="P437">
        <f t="shared" ca="1" si="72"/>
        <v>1</v>
      </c>
      <c r="Q437">
        <f t="shared" ca="1" si="73"/>
        <v>0</v>
      </c>
      <c r="R437">
        <f t="shared" ca="1" si="74"/>
        <v>0</v>
      </c>
      <c r="S437">
        <f t="shared" ca="1" si="75"/>
        <v>1</v>
      </c>
      <c r="T437" s="17">
        <f t="shared" ca="1" si="76"/>
        <v>5.3419047619047619</v>
      </c>
    </row>
    <row r="438" spans="2:20" x14ac:dyDescent="0.3">
      <c r="B438">
        <f t="shared" ca="1" si="67"/>
        <v>45</v>
      </c>
      <c r="C438" cm="1">
        <f t="array" aca="1" ref="C438" ca="1">INDIRECT(ADDRESS(myRAND(1,C$2,C$8:C$9)+5,C$1))</f>
        <v>0</v>
      </c>
      <c r="D438" cm="1">
        <f t="array" aca="1" ref="D438" ca="1">INDIRECT(ADDRESS(myRAND(1,D$2,D$8:D$9)+5,D$1))</f>
        <v>0</v>
      </c>
      <c r="E438" cm="1">
        <f t="array" aca="1" ref="E438" ca="1">INDIRECT(ADDRESS(myRAND(1,E$2,E$8:E$9)+5,E$1))</f>
        <v>0</v>
      </c>
      <c r="F438" cm="1">
        <f t="array" aca="1" ref="F438" ca="1">INDIRECT(ADDRESS(myRAND(1,F$2,F$8:F$9)+5,F$1))</f>
        <v>1</v>
      </c>
      <c r="G438" cm="1">
        <f t="array" aca="1" ref="G438" ca="1">INDIRECT(ADDRESS(myRAND(1,G$2,G$8:G$9)+5,G$1))</f>
        <v>1</v>
      </c>
      <c r="H438" cm="1">
        <f t="array" aca="1" ref="H438" ca="1">INDIRECT(ADDRESS(myRAND(1,H$2,H$8:H$9)+5,H$1))</f>
        <v>0</v>
      </c>
      <c r="I438" cm="1">
        <f t="array" aca="1" ref="I438" ca="1">INDIRECT(ADDRESS(myRAND(1,I$2,I$8:I$9)+5,I$1))</f>
        <v>1</v>
      </c>
      <c r="J438">
        <f t="shared" ca="1" si="66"/>
        <v>8</v>
      </c>
      <c r="K438">
        <f t="shared" ca="1" si="66"/>
        <v>208</v>
      </c>
      <c r="L438" s="3">
        <f t="shared" ca="1" si="68"/>
        <v>1</v>
      </c>
      <c r="M438" s="13">
        <f t="shared" ca="1" si="69"/>
        <v>7.1094304084287144E-2</v>
      </c>
      <c r="N438">
        <f t="shared" ca="1" si="70"/>
        <v>-2.5700000000000003</v>
      </c>
      <c r="O438">
        <f t="shared" ca="1" si="71"/>
        <v>0</v>
      </c>
      <c r="P438">
        <f t="shared" ca="1" si="72"/>
        <v>0</v>
      </c>
      <c r="Q438">
        <f t="shared" ca="1" si="73"/>
        <v>1</v>
      </c>
      <c r="R438">
        <f t="shared" ca="1" si="74"/>
        <v>0</v>
      </c>
      <c r="S438">
        <f t="shared" ca="1" si="75"/>
        <v>2</v>
      </c>
      <c r="T438" s="17">
        <f t="shared" ca="1" si="76"/>
        <v>4.2976190476190474</v>
      </c>
    </row>
    <row r="439" spans="2:20" x14ac:dyDescent="0.3">
      <c r="B439">
        <f t="shared" ca="1" si="67"/>
        <v>55</v>
      </c>
      <c r="C439" cm="1">
        <f t="array" aca="1" ref="C439" ca="1">INDIRECT(ADDRESS(myRAND(1,C$2,C$8:C$9)+5,C$1))</f>
        <v>1</v>
      </c>
      <c r="D439" cm="1">
        <f t="array" aca="1" ref="D439" ca="1">INDIRECT(ADDRESS(myRAND(1,D$2,D$8:D$9)+5,D$1))</f>
        <v>1</v>
      </c>
      <c r="E439" cm="1">
        <f t="array" aca="1" ref="E439" ca="1">INDIRECT(ADDRESS(myRAND(1,E$2,E$8:E$9)+5,E$1))</f>
        <v>0</v>
      </c>
      <c r="F439" cm="1">
        <f t="array" aca="1" ref="F439" ca="1">INDIRECT(ADDRESS(myRAND(1,F$2,F$8:F$9)+5,F$1))</f>
        <v>1</v>
      </c>
      <c r="G439" cm="1">
        <f t="array" aca="1" ref="G439" ca="1">INDIRECT(ADDRESS(myRAND(1,G$2,G$8:G$9)+5,G$1))</f>
        <v>0</v>
      </c>
      <c r="H439" cm="1">
        <f t="array" aca="1" ref="H439" ca="1">INDIRECT(ADDRESS(myRAND(1,H$2,H$8:H$9)+5,H$1))</f>
        <v>0</v>
      </c>
      <c r="I439" cm="1">
        <f t="array" aca="1" ref="I439" ca="1">INDIRECT(ADDRESS(myRAND(1,I$2,I$8:I$9)+5,I$1))</f>
        <v>1</v>
      </c>
      <c r="J439">
        <f t="shared" ca="1" si="66"/>
        <v>13</v>
      </c>
      <c r="K439">
        <f t="shared" ca="1" si="66"/>
        <v>198</v>
      </c>
      <c r="L439" s="3">
        <f t="shared" ca="1" si="68"/>
        <v>3</v>
      </c>
      <c r="M439" s="13">
        <f t="shared" ca="1" si="69"/>
        <v>0.74459691582747589</v>
      </c>
      <c r="N439">
        <f t="shared" ca="1" si="70"/>
        <v>1.07</v>
      </c>
      <c r="O439">
        <f t="shared" ca="1" si="71"/>
        <v>0</v>
      </c>
      <c r="P439">
        <f t="shared" ca="1" si="72"/>
        <v>1</v>
      </c>
      <c r="Q439">
        <f t="shared" ca="1" si="73"/>
        <v>0</v>
      </c>
      <c r="R439">
        <f t="shared" ca="1" si="74"/>
        <v>0</v>
      </c>
      <c r="S439">
        <f t="shared" ca="1" si="75"/>
        <v>1</v>
      </c>
      <c r="T439" s="17">
        <f t="shared" ca="1" si="76"/>
        <v>5.6833333333333336</v>
      </c>
    </row>
    <row r="440" spans="2:20" x14ac:dyDescent="0.3">
      <c r="B440">
        <f t="shared" ca="1" si="67"/>
        <v>57</v>
      </c>
      <c r="C440" cm="1">
        <f t="array" aca="1" ref="C440" ca="1">INDIRECT(ADDRESS(myRAND(1,C$2,C$8:C$9)+5,C$1))</f>
        <v>0</v>
      </c>
      <c r="D440" cm="1">
        <f t="array" aca="1" ref="D440" ca="1">INDIRECT(ADDRESS(myRAND(1,D$2,D$8:D$9)+5,D$1))</f>
        <v>0</v>
      </c>
      <c r="E440" cm="1">
        <f t="array" aca="1" ref="E440" ca="1">INDIRECT(ADDRESS(myRAND(1,E$2,E$8:E$9)+5,E$1))</f>
        <v>1</v>
      </c>
      <c r="F440" cm="1">
        <f t="array" aca="1" ref="F440" ca="1">INDIRECT(ADDRESS(myRAND(1,F$2,F$8:F$9)+5,F$1))</f>
        <v>1</v>
      </c>
      <c r="G440" cm="1">
        <f t="array" aca="1" ref="G440" ca="1">INDIRECT(ADDRESS(myRAND(1,G$2,G$8:G$9)+5,G$1))</f>
        <v>0</v>
      </c>
      <c r="H440" cm="1">
        <f t="array" aca="1" ref="H440" ca="1">INDIRECT(ADDRESS(myRAND(1,H$2,H$8:H$9)+5,H$1))</f>
        <v>1</v>
      </c>
      <c r="I440" cm="1">
        <f t="array" aca="1" ref="I440" ca="1">INDIRECT(ADDRESS(myRAND(1,I$2,I$8:I$9)+5,I$1))</f>
        <v>0</v>
      </c>
      <c r="J440">
        <f t="shared" ca="1" si="66"/>
        <v>13</v>
      </c>
      <c r="K440">
        <f t="shared" ca="1" si="66"/>
        <v>197</v>
      </c>
      <c r="L440" s="3">
        <f t="shared" ca="1" si="68"/>
        <v>3</v>
      </c>
      <c r="M440" s="13">
        <f t="shared" ca="1" si="69"/>
        <v>0.45264238185691075</v>
      </c>
      <c r="N440">
        <f t="shared" ca="1" si="70"/>
        <v>-0.18999999999999995</v>
      </c>
      <c r="O440">
        <f t="shared" ca="1" si="71"/>
        <v>0</v>
      </c>
      <c r="P440">
        <f t="shared" ca="1" si="72"/>
        <v>1</v>
      </c>
      <c r="Q440">
        <f t="shared" ca="1" si="73"/>
        <v>0</v>
      </c>
      <c r="R440">
        <f t="shared" ca="1" si="74"/>
        <v>0</v>
      </c>
      <c r="S440">
        <f t="shared" ca="1" si="75"/>
        <v>1</v>
      </c>
      <c r="T440" s="17">
        <f t="shared" ca="1" si="76"/>
        <v>1.6985714285714286</v>
      </c>
    </row>
    <row r="441" spans="2:20" x14ac:dyDescent="0.3">
      <c r="B441">
        <f t="shared" ca="1" si="67"/>
        <v>52</v>
      </c>
      <c r="C441" cm="1">
        <f t="array" aca="1" ref="C441" ca="1">INDIRECT(ADDRESS(myRAND(1,C$2,C$8:C$9)+5,C$1))</f>
        <v>1</v>
      </c>
      <c r="D441" cm="1">
        <f t="array" aca="1" ref="D441" ca="1">INDIRECT(ADDRESS(myRAND(1,D$2,D$8:D$9)+5,D$1))</f>
        <v>1</v>
      </c>
      <c r="E441" cm="1">
        <f t="array" aca="1" ref="E441" ca="1">INDIRECT(ADDRESS(myRAND(1,E$2,E$8:E$9)+5,E$1))</f>
        <v>0</v>
      </c>
      <c r="F441" cm="1">
        <f t="array" aca="1" ref="F441" ca="1">INDIRECT(ADDRESS(myRAND(1,F$2,F$8:F$9)+5,F$1))</f>
        <v>0</v>
      </c>
      <c r="G441" cm="1">
        <f t="array" aca="1" ref="G441" ca="1">INDIRECT(ADDRESS(myRAND(1,G$2,G$8:G$9)+5,G$1))</f>
        <v>0</v>
      </c>
      <c r="H441" cm="1">
        <f t="array" aca="1" ref="H441" ca="1">INDIRECT(ADDRESS(myRAND(1,H$2,H$8:H$9)+5,H$1))</f>
        <v>0</v>
      </c>
      <c r="I441" cm="1">
        <f t="array" aca="1" ref="I441" ca="1">INDIRECT(ADDRESS(myRAND(1,I$2,I$8:I$9)+5,I$1))</f>
        <v>0</v>
      </c>
      <c r="J441">
        <f t="shared" ca="1" si="66"/>
        <v>13</v>
      </c>
      <c r="K441">
        <f t="shared" ca="1" si="66"/>
        <v>224</v>
      </c>
      <c r="L441" s="3">
        <f t="shared" ca="1" si="68"/>
        <v>2</v>
      </c>
      <c r="M441" s="13">
        <f t="shared" ca="1" si="69"/>
        <v>0.27888482197713693</v>
      </c>
      <c r="N441">
        <f t="shared" ca="1" si="70"/>
        <v>-0.95</v>
      </c>
      <c r="O441">
        <f t="shared" ca="1" si="71"/>
        <v>0</v>
      </c>
      <c r="P441">
        <f t="shared" ca="1" si="72"/>
        <v>0</v>
      </c>
      <c r="Q441">
        <f t="shared" ca="1" si="73"/>
        <v>1</v>
      </c>
      <c r="R441">
        <f t="shared" ca="1" si="74"/>
        <v>0</v>
      </c>
      <c r="S441">
        <f t="shared" ca="1" si="75"/>
        <v>0</v>
      </c>
      <c r="T441" s="17">
        <f t="shared" ca="1" si="76"/>
        <v>2.7771428571428571</v>
      </c>
    </row>
    <row r="442" spans="2:20" x14ac:dyDescent="0.3">
      <c r="B442">
        <f t="shared" ca="1" si="67"/>
        <v>49</v>
      </c>
      <c r="C442" cm="1">
        <f t="array" aca="1" ref="C442" ca="1">INDIRECT(ADDRESS(myRAND(1,C$2,C$8:C$9)+5,C$1))</f>
        <v>0</v>
      </c>
      <c r="D442" cm="1">
        <f t="array" aca="1" ref="D442" ca="1">INDIRECT(ADDRESS(myRAND(1,D$2,D$8:D$9)+5,D$1))</f>
        <v>1</v>
      </c>
      <c r="E442" cm="1">
        <f t="array" aca="1" ref="E442" ca="1">INDIRECT(ADDRESS(myRAND(1,E$2,E$8:E$9)+5,E$1))</f>
        <v>1</v>
      </c>
      <c r="F442" cm="1">
        <f t="array" aca="1" ref="F442" ca="1">INDIRECT(ADDRESS(myRAND(1,F$2,F$8:F$9)+5,F$1))</f>
        <v>0</v>
      </c>
      <c r="G442" cm="1">
        <f t="array" aca="1" ref="G442" ca="1">INDIRECT(ADDRESS(myRAND(1,G$2,G$8:G$9)+5,G$1))</f>
        <v>0</v>
      </c>
      <c r="H442" cm="1">
        <f t="array" aca="1" ref="H442" ca="1">INDIRECT(ADDRESS(myRAND(1,H$2,H$8:H$9)+5,H$1))</f>
        <v>0</v>
      </c>
      <c r="I442" cm="1">
        <f t="array" aca="1" ref="I442" ca="1">INDIRECT(ADDRESS(myRAND(1,I$2,I$8:I$9)+5,I$1))</f>
        <v>1</v>
      </c>
      <c r="J442">
        <f t="shared" ca="1" si="66"/>
        <v>16</v>
      </c>
      <c r="K442">
        <f t="shared" ca="1" si="66"/>
        <v>217</v>
      </c>
      <c r="L442" s="3">
        <f t="shared" ca="1" si="68"/>
        <v>3</v>
      </c>
      <c r="M442" s="13">
        <f t="shared" ca="1" si="69"/>
        <v>0.37519352553157065</v>
      </c>
      <c r="N442">
        <f t="shared" ca="1" si="70"/>
        <v>-0.51000000000000023</v>
      </c>
      <c r="O442">
        <f t="shared" ca="1" si="71"/>
        <v>0</v>
      </c>
      <c r="P442">
        <f t="shared" ca="1" si="72"/>
        <v>1</v>
      </c>
      <c r="Q442">
        <f t="shared" ca="1" si="73"/>
        <v>0</v>
      </c>
      <c r="R442">
        <f t="shared" ca="1" si="74"/>
        <v>0</v>
      </c>
      <c r="S442">
        <f t="shared" ca="1" si="75"/>
        <v>1</v>
      </c>
      <c r="T442" s="17">
        <f t="shared" ca="1" si="76"/>
        <v>4.9138095238095243</v>
      </c>
    </row>
    <row r="443" spans="2:20" x14ac:dyDescent="0.3">
      <c r="B443">
        <f t="shared" ca="1" si="67"/>
        <v>71</v>
      </c>
      <c r="C443" cm="1">
        <f t="array" aca="1" ref="C443" ca="1">INDIRECT(ADDRESS(myRAND(1,C$2,C$8:C$9)+5,C$1))</f>
        <v>0</v>
      </c>
      <c r="D443" cm="1">
        <f t="array" aca="1" ref="D443" ca="1">INDIRECT(ADDRESS(myRAND(1,D$2,D$8:D$9)+5,D$1))</f>
        <v>1</v>
      </c>
      <c r="E443" cm="1">
        <f t="array" aca="1" ref="E443" ca="1">INDIRECT(ADDRESS(myRAND(1,E$2,E$8:E$9)+5,E$1))</f>
        <v>0</v>
      </c>
      <c r="F443" cm="1">
        <f t="array" aca="1" ref="F443" ca="1">INDIRECT(ADDRESS(myRAND(1,F$2,F$8:F$9)+5,F$1))</f>
        <v>1</v>
      </c>
      <c r="G443" cm="1">
        <f t="array" aca="1" ref="G443" ca="1">INDIRECT(ADDRESS(myRAND(1,G$2,G$8:G$9)+5,G$1))</f>
        <v>0</v>
      </c>
      <c r="H443" cm="1">
        <f t="array" aca="1" ref="H443" ca="1">INDIRECT(ADDRESS(myRAND(1,H$2,H$8:H$9)+5,H$1))</f>
        <v>0</v>
      </c>
      <c r="I443" cm="1">
        <f t="array" aca="1" ref="I443" ca="1">INDIRECT(ADDRESS(myRAND(1,I$2,I$8:I$9)+5,I$1))</f>
        <v>0</v>
      </c>
      <c r="J443">
        <f t="shared" ca="1" si="66"/>
        <v>12</v>
      </c>
      <c r="K443">
        <f t="shared" ca="1" si="66"/>
        <v>202</v>
      </c>
      <c r="L443" s="3">
        <f t="shared" ca="1" si="68"/>
        <v>2</v>
      </c>
      <c r="M443" s="13">
        <f t="shared" ca="1" si="69"/>
        <v>0.59145897843278006</v>
      </c>
      <c r="N443">
        <f t="shared" ca="1" si="70"/>
        <v>0.36999999999999966</v>
      </c>
      <c r="O443">
        <f t="shared" ca="1" si="71"/>
        <v>0</v>
      </c>
      <c r="P443">
        <f t="shared" ca="1" si="72"/>
        <v>1</v>
      </c>
      <c r="Q443">
        <f t="shared" ca="1" si="73"/>
        <v>0</v>
      </c>
      <c r="R443">
        <f t="shared" ca="1" si="74"/>
        <v>0</v>
      </c>
      <c r="S443">
        <f t="shared" ca="1" si="75"/>
        <v>0</v>
      </c>
      <c r="T443" s="17">
        <f t="shared" ca="1" si="76"/>
        <v>1.7957142857142858</v>
      </c>
    </row>
    <row r="444" spans="2:20" x14ac:dyDescent="0.3">
      <c r="B444">
        <f t="shared" ca="1" si="67"/>
        <v>48</v>
      </c>
      <c r="C444" cm="1">
        <f t="array" aca="1" ref="C444" ca="1">INDIRECT(ADDRESS(myRAND(1,C$2,C$8:C$9)+5,C$1))</f>
        <v>1</v>
      </c>
      <c r="D444" cm="1">
        <f t="array" aca="1" ref="D444" ca="1">INDIRECT(ADDRESS(myRAND(1,D$2,D$8:D$9)+5,D$1))</f>
        <v>1</v>
      </c>
      <c r="E444" cm="1">
        <f t="array" aca="1" ref="E444" ca="1">INDIRECT(ADDRESS(myRAND(1,E$2,E$8:E$9)+5,E$1))</f>
        <v>0</v>
      </c>
      <c r="F444" cm="1">
        <f t="array" aca="1" ref="F444" ca="1">INDIRECT(ADDRESS(myRAND(1,F$2,F$8:F$9)+5,F$1))</f>
        <v>1</v>
      </c>
      <c r="G444" cm="1">
        <f t="array" aca="1" ref="G444" ca="1">INDIRECT(ADDRESS(myRAND(1,G$2,G$8:G$9)+5,G$1))</f>
        <v>0</v>
      </c>
      <c r="H444" cm="1">
        <f t="array" aca="1" ref="H444" ca="1">INDIRECT(ADDRESS(myRAND(1,H$2,H$8:H$9)+5,H$1))</f>
        <v>0</v>
      </c>
      <c r="I444" cm="1">
        <f t="array" aca="1" ref="I444" ca="1">INDIRECT(ADDRESS(myRAND(1,I$2,I$8:I$9)+5,I$1))</f>
        <v>0</v>
      </c>
      <c r="J444">
        <f t="shared" ca="1" si="66"/>
        <v>13</v>
      </c>
      <c r="K444">
        <f t="shared" ca="1" si="66"/>
        <v>233</v>
      </c>
      <c r="L444" s="3">
        <f t="shared" ca="1" si="68"/>
        <v>3</v>
      </c>
      <c r="M444" s="13">
        <f t="shared" ca="1" si="69"/>
        <v>0.68783133058284041</v>
      </c>
      <c r="N444">
        <f t="shared" ca="1" si="70"/>
        <v>0.78999999999999981</v>
      </c>
      <c r="O444">
        <f t="shared" ca="1" si="71"/>
        <v>0</v>
      </c>
      <c r="P444">
        <f t="shared" ca="1" si="72"/>
        <v>1</v>
      </c>
      <c r="Q444">
        <f t="shared" ca="1" si="73"/>
        <v>0</v>
      </c>
      <c r="R444">
        <f t="shared" ca="1" si="74"/>
        <v>0</v>
      </c>
      <c r="S444">
        <f t="shared" ca="1" si="75"/>
        <v>0</v>
      </c>
      <c r="T444" s="17">
        <f t="shared" ca="1" si="76"/>
        <v>2.7800000000000002</v>
      </c>
    </row>
    <row r="445" spans="2:20" x14ac:dyDescent="0.3">
      <c r="B445">
        <f t="shared" ca="1" si="67"/>
        <v>47</v>
      </c>
      <c r="C445" cm="1">
        <f t="array" aca="1" ref="C445" ca="1">INDIRECT(ADDRESS(myRAND(1,C$2,C$8:C$9)+5,C$1))</f>
        <v>1</v>
      </c>
      <c r="D445" cm="1">
        <f t="array" aca="1" ref="D445" ca="1">INDIRECT(ADDRESS(myRAND(1,D$2,D$8:D$9)+5,D$1))</f>
        <v>1</v>
      </c>
      <c r="E445" cm="1">
        <f t="array" aca="1" ref="E445" ca="1">INDIRECT(ADDRESS(myRAND(1,E$2,E$8:E$9)+5,E$1))</f>
        <v>0</v>
      </c>
      <c r="F445" cm="1">
        <f t="array" aca="1" ref="F445" ca="1">INDIRECT(ADDRESS(myRAND(1,F$2,F$8:F$9)+5,F$1))</f>
        <v>0</v>
      </c>
      <c r="G445" cm="1">
        <f t="array" aca="1" ref="G445" ca="1">INDIRECT(ADDRESS(myRAND(1,G$2,G$8:G$9)+5,G$1))</f>
        <v>1</v>
      </c>
      <c r="H445" cm="1">
        <f t="array" aca="1" ref="H445" ca="1">INDIRECT(ADDRESS(myRAND(1,H$2,H$8:H$9)+5,H$1))</f>
        <v>0</v>
      </c>
      <c r="I445" cm="1">
        <f t="array" aca="1" ref="I445" ca="1">INDIRECT(ADDRESS(myRAND(1,I$2,I$8:I$9)+5,I$1))</f>
        <v>0</v>
      </c>
      <c r="J445">
        <f t="shared" ca="1" si="66"/>
        <v>21</v>
      </c>
      <c r="K445">
        <f t="shared" ca="1" si="66"/>
        <v>214</v>
      </c>
      <c r="L445" s="3">
        <f t="shared" ca="1" si="68"/>
        <v>2</v>
      </c>
      <c r="M445" s="13">
        <f t="shared" ca="1" si="69"/>
        <v>0.24048908305088887</v>
      </c>
      <c r="N445">
        <f t="shared" ca="1" si="70"/>
        <v>-1.1500000000000001</v>
      </c>
      <c r="O445">
        <f t="shared" ca="1" si="71"/>
        <v>0</v>
      </c>
      <c r="P445">
        <f t="shared" ca="1" si="72"/>
        <v>0</v>
      </c>
      <c r="Q445">
        <f t="shared" ca="1" si="73"/>
        <v>1</v>
      </c>
      <c r="R445">
        <f t="shared" ca="1" si="74"/>
        <v>0</v>
      </c>
      <c r="S445">
        <f t="shared" ca="1" si="75"/>
        <v>1</v>
      </c>
      <c r="T445" s="17">
        <f t="shared" ca="1" si="76"/>
        <v>3.2128571428571426</v>
      </c>
    </row>
    <row r="446" spans="2:20" x14ac:dyDescent="0.3">
      <c r="B446">
        <f t="shared" ca="1" si="67"/>
        <v>51</v>
      </c>
      <c r="C446" cm="1">
        <f t="array" aca="1" ref="C446" ca="1">INDIRECT(ADDRESS(myRAND(1,C$2,C$8:C$9)+5,C$1))</f>
        <v>1</v>
      </c>
      <c r="D446" cm="1">
        <f t="array" aca="1" ref="D446" ca="1">INDIRECT(ADDRESS(myRAND(1,D$2,D$8:D$9)+5,D$1))</f>
        <v>1</v>
      </c>
      <c r="E446" cm="1">
        <f t="array" aca="1" ref="E446" ca="1">INDIRECT(ADDRESS(myRAND(1,E$2,E$8:E$9)+5,E$1))</f>
        <v>1</v>
      </c>
      <c r="F446" cm="1">
        <f t="array" aca="1" ref="F446" ca="1">INDIRECT(ADDRESS(myRAND(1,F$2,F$8:F$9)+5,F$1))</f>
        <v>1</v>
      </c>
      <c r="G446" cm="1">
        <f t="array" aca="1" ref="G446" ca="1">INDIRECT(ADDRESS(myRAND(1,G$2,G$8:G$9)+5,G$1))</f>
        <v>0</v>
      </c>
      <c r="H446" cm="1">
        <f t="array" aca="1" ref="H446" ca="1">INDIRECT(ADDRESS(myRAND(1,H$2,H$8:H$9)+5,H$1))</f>
        <v>0</v>
      </c>
      <c r="I446" cm="1">
        <f t="array" aca="1" ref="I446" ca="1">INDIRECT(ADDRESS(myRAND(1,I$2,I$8:I$9)+5,I$1))</f>
        <v>1</v>
      </c>
      <c r="J446">
        <f t="shared" ca="1" si="66"/>
        <v>18</v>
      </c>
      <c r="K446">
        <f t="shared" ca="1" si="66"/>
        <v>167</v>
      </c>
      <c r="L446" s="3">
        <f t="shared" ca="1" si="68"/>
        <v>3</v>
      </c>
      <c r="M446" s="13">
        <f t="shared" ca="1" si="69"/>
        <v>0.41338242108266998</v>
      </c>
      <c r="N446">
        <f t="shared" ca="1" si="70"/>
        <v>-0.35</v>
      </c>
      <c r="O446">
        <f t="shared" ca="1" si="71"/>
        <v>1</v>
      </c>
      <c r="P446">
        <f t="shared" ca="1" si="72"/>
        <v>0</v>
      </c>
      <c r="Q446">
        <f t="shared" ca="1" si="73"/>
        <v>0</v>
      </c>
      <c r="R446">
        <f t="shared" ca="1" si="74"/>
        <v>0</v>
      </c>
      <c r="S446">
        <f t="shared" ca="1" si="75"/>
        <v>1</v>
      </c>
      <c r="T446" s="17">
        <f t="shared" ca="1" si="76"/>
        <v>5.8290476190476195</v>
      </c>
    </row>
    <row r="447" spans="2:20" x14ac:dyDescent="0.3">
      <c r="B447">
        <f t="shared" ca="1" si="67"/>
        <v>36</v>
      </c>
      <c r="C447" cm="1">
        <f t="array" aca="1" ref="C447" ca="1">INDIRECT(ADDRESS(myRAND(1,C$2,C$8:C$9)+5,C$1))</f>
        <v>1</v>
      </c>
      <c r="D447" cm="1">
        <f t="array" aca="1" ref="D447" ca="1">INDIRECT(ADDRESS(myRAND(1,D$2,D$8:D$9)+5,D$1))</f>
        <v>1</v>
      </c>
      <c r="E447" cm="1">
        <f t="array" aca="1" ref="E447" ca="1">INDIRECT(ADDRESS(myRAND(1,E$2,E$8:E$9)+5,E$1))</f>
        <v>1</v>
      </c>
      <c r="F447" cm="1">
        <f t="array" aca="1" ref="F447" ca="1">INDIRECT(ADDRESS(myRAND(1,F$2,F$8:F$9)+5,F$1))</f>
        <v>0</v>
      </c>
      <c r="G447" cm="1">
        <f t="array" aca="1" ref="G447" ca="1">INDIRECT(ADDRESS(myRAND(1,G$2,G$8:G$9)+5,G$1))</f>
        <v>0</v>
      </c>
      <c r="H447" cm="1">
        <f t="array" aca="1" ref="H447" ca="1">INDIRECT(ADDRESS(myRAND(1,H$2,H$8:H$9)+5,H$1))</f>
        <v>1</v>
      </c>
      <c r="I447" cm="1">
        <f t="array" aca="1" ref="I447" ca="1">INDIRECT(ADDRESS(myRAND(1,I$2,I$8:I$9)+5,I$1))</f>
        <v>1</v>
      </c>
      <c r="J447">
        <f t="shared" ca="1" si="66"/>
        <v>14</v>
      </c>
      <c r="K447">
        <f t="shared" ca="1" si="66"/>
        <v>175</v>
      </c>
      <c r="L447" s="3">
        <f t="shared" ca="1" si="68"/>
        <v>2</v>
      </c>
      <c r="M447" s="13">
        <f t="shared" ca="1" si="69"/>
        <v>0.5768852611320463</v>
      </c>
      <c r="N447">
        <f t="shared" ca="1" si="70"/>
        <v>0.30999999999999983</v>
      </c>
      <c r="O447">
        <f t="shared" ca="1" si="71"/>
        <v>0</v>
      </c>
      <c r="P447">
        <f t="shared" ca="1" si="72"/>
        <v>1</v>
      </c>
      <c r="Q447">
        <f t="shared" ca="1" si="73"/>
        <v>0</v>
      </c>
      <c r="R447">
        <f t="shared" ca="1" si="74"/>
        <v>0</v>
      </c>
      <c r="S447">
        <f t="shared" ca="1" si="75"/>
        <v>2</v>
      </c>
      <c r="T447" s="17">
        <f t="shared" ca="1" si="76"/>
        <v>5.4504761904761905</v>
      </c>
    </row>
    <row r="448" spans="2:20" x14ac:dyDescent="0.3">
      <c r="B448">
        <f t="shared" ca="1" si="67"/>
        <v>59</v>
      </c>
      <c r="C448" cm="1">
        <f t="array" aca="1" ref="C448" ca="1">INDIRECT(ADDRESS(myRAND(1,C$2,C$8:C$9)+5,C$1))</f>
        <v>1</v>
      </c>
      <c r="D448" cm="1">
        <f t="array" aca="1" ref="D448" ca="1">INDIRECT(ADDRESS(myRAND(1,D$2,D$8:D$9)+5,D$1))</f>
        <v>0</v>
      </c>
      <c r="E448" cm="1">
        <f t="array" aca="1" ref="E448" ca="1">INDIRECT(ADDRESS(myRAND(1,E$2,E$8:E$9)+5,E$1))</f>
        <v>1</v>
      </c>
      <c r="F448" cm="1">
        <f t="array" aca="1" ref="F448" ca="1">INDIRECT(ADDRESS(myRAND(1,F$2,F$8:F$9)+5,F$1))</f>
        <v>0</v>
      </c>
      <c r="G448" cm="1">
        <f t="array" aca="1" ref="G448" ca="1">INDIRECT(ADDRESS(myRAND(1,G$2,G$8:G$9)+5,G$1))</f>
        <v>0</v>
      </c>
      <c r="H448" cm="1">
        <f t="array" aca="1" ref="H448" ca="1">INDIRECT(ADDRESS(myRAND(1,H$2,H$8:H$9)+5,H$1))</f>
        <v>0</v>
      </c>
      <c r="I448" cm="1">
        <f t="array" aca="1" ref="I448" ca="1">INDIRECT(ADDRESS(myRAND(1,I$2,I$8:I$9)+5,I$1))</f>
        <v>0</v>
      </c>
      <c r="J448">
        <f t="shared" ca="1" si="66"/>
        <v>13</v>
      </c>
      <c r="K448">
        <f t="shared" ca="1" si="66"/>
        <v>203</v>
      </c>
      <c r="L448" s="3">
        <f t="shared" ca="1" si="68"/>
        <v>2</v>
      </c>
      <c r="M448" s="13">
        <f t="shared" ca="1" si="69"/>
        <v>0.3384968407970475</v>
      </c>
      <c r="N448">
        <f t="shared" ca="1" si="70"/>
        <v>-0.67000000000000015</v>
      </c>
      <c r="O448">
        <f t="shared" ca="1" si="71"/>
        <v>0</v>
      </c>
      <c r="P448">
        <f t="shared" ca="1" si="72"/>
        <v>0</v>
      </c>
      <c r="Q448">
        <f t="shared" ca="1" si="73"/>
        <v>1</v>
      </c>
      <c r="R448">
        <f t="shared" ca="1" si="74"/>
        <v>0</v>
      </c>
      <c r="S448">
        <f t="shared" ca="1" si="75"/>
        <v>0</v>
      </c>
      <c r="T448" s="17">
        <f t="shared" ca="1" si="76"/>
        <v>2.7471428571428573</v>
      </c>
    </row>
    <row r="449" spans="2:20" x14ac:dyDescent="0.3">
      <c r="B449">
        <f t="shared" ca="1" si="67"/>
        <v>47</v>
      </c>
      <c r="C449" cm="1">
        <f t="array" aca="1" ref="C449" ca="1">INDIRECT(ADDRESS(myRAND(1,C$2,C$8:C$9)+5,C$1))</f>
        <v>1</v>
      </c>
      <c r="D449" cm="1">
        <f t="array" aca="1" ref="D449" ca="1">INDIRECT(ADDRESS(myRAND(1,D$2,D$8:D$9)+5,D$1))</f>
        <v>0</v>
      </c>
      <c r="E449" cm="1">
        <f t="array" aca="1" ref="E449" ca="1">INDIRECT(ADDRESS(myRAND(1,E$2,E$8:E$9)+5,E$1))</f>
        <v>1</v>
      </c>
      <c r="F449" cm="1">
        <f t="array" aca="1" ref="F449" ca="1">INDIRECT(ADDRESS(myRAND(1,F$2,F$8:F$9)+5,F$1))</f>
        <v>1</v>
      </c>
      <c r="G449" cm="1">
        <f t="array" aca="1" ref="G449" ca="1">INDIRECT(ADDRESS(myRAND(1,G$2,G$8:G$9)+5,G$1))</f>
        <v>0</v>
      </c>
      <c r="H449" cm="1">
        <f t="array" aca="1" ref="H449" ca="1">INDIRECT(ADDRESS(myRAND(1,H$2,H$8:H$9)+5,H$1))</f>
        <v>0</v>
      </c>
      <c r="I449" cm="1">
        <f t="array" aca="1" ref="I449" ca="1">INDIRECT(ADDRESS(myRAND(1,I$2,I$8:I$9)+5,I$1))</f>
        <v>0</v>
      </c>
      <c r="J449">
        <f t="shared" ca="1" si="66"/>
        <v>10</v>
      </c>
      <c r="K449">
        <f t="shared" ca="1" si="66"/>
        <v>228</v>
      </c>
      <c r="L449" s="3">
        <f t="shared" ca="1" si="68"/>
        <v>3</v>
      </c>
      <c r="M449" s="13">
        <f t="shared" ca="1" si="69"/>
        <v>0.67917869917539297</v>
      </c>
      <c r="N449">
        <f t="shared" ca="1" si="70"/>
        <v>0.74999999999999978</v>
      </c>
      <c r="O449">
        <f t="shared" ca="1" si="71"/>
        <v>0</v>
      </c>
      <c r="P449">
        <f t="shared" ca="1" si="72"/>
        <v>1</v>
      </c>
      <c r="Q449">
        <f t="shared" ca="1" si="73"/>
        <v>0</v>
      </c>
      <c r="R449">
        <f t="shared" ca="1" si="74"/>
        <v>0</v>
      </c>
      <c r="S449">
        <f t="shared" ca="1" si="75"/>
        <v>0</v>
      </c>
      <c r="T449" s="17">
        <f t="shared" ca="1" si="76"/>
        <v>2.5461904761904761</v>
      </c>
    </row>
    <row r="450" spans="2:20" x14ac:dyDescent="0.3">
      <c r="B450">
        <f t="shared" ca="1" si="67"/>
        <v>60</v>
      </c>
      <c r="C450" cm="1">
        <f t="array" aca="1" ref="C450" ca="1">INDIRECT(ADDRESS(myRAND(1,C$2,C$8:C$9)+5,C$1))</f>
        <v>0</v>
      </c>
      <c r="D450" cm="1">
        <f t="array" aca="1" ref="D450" ca="1">INDIRECT(ADDRESS(myRAND(1,D$2,D$8:D$9)+5,D$1))</f>
        <v>1</v>
      </c>
      <c r="E450" cm="1">
        <f t="array" aca="1" ref="E450" ca="1">INDIRECT(ADDRESS(myRAND(1,E$2,E$8:E$9)+5,E$1))</f>
        <v>1</v>
      </c>
      <c r="F450" cm="1">
        <f t="array" aca="1" ref="F450" ca="1">INDIRECT(ADDRESS(myRAND(1,F$2,F$8:F$9)+5,F$1))</f>
        <v>1</v>
      </c>
      <c r="G450" cm="1">
        <f t="array" aca="1" ref="G450" ca="1">INDIRECT(ADDRESS(myRAND(1,G$2,G$8:G$9)+5,G$1))</f>
        <v>0</v>
      </c>
      <c r="H450" cm="1">
        <f t="array" aca="1" ref="H450" ca="1">INDIRECT(ADDRESS(myRAND(1,H$2,H$8:H$9)+5,H$1))</f>
        <v>0</v>
      </c>
      <c r="I450" cm="1">
        <f t="array" aca="1" ref="I450" ca="1">INDIRECT(ADDRESS(myRAND(1,I$2,I$8:I$9)+5,I$1))</f>
        <v>1</v>
      </c>
      <c r="J450">
        <f t="shared" ca="1" si="66"/>
        <v>16</v>
      </c>
      <c r="K450">
        <f t="shared" ca="1" si="66"/>
        <v>237</v>
      </c>
      <c r="L450" s="3">
        <f t="shared" ca="1" si="68"/>
        <v>2</v>
      </c>
      <c r="M450" s="13">
        <f t="shared" ca="1" si="69"/>
        <v>0.2091593652130633</v>
      </c>
      <c r="N450">
        <f t="shared" ca="1" si="70"/>
        <v>-1.33</v>
      </c>
      <c r="O450">
        <f t="shared" ca="1" si="71"/>
        <v>1</v>
      </c>
      <c r="P450">
        <f t="shared" ca="1" si="72"/>
        <v>0</v>
      </c>
      <c r="Q450">
        <f t="shared" ca="1" si="73"/>
        <v>0</v>
      </c>
      <c r="R450">
        <f t="shared" ca="1" si="74"/>
        <v>0</v>
      </c>
      <c r="S450">
        <f t="shared" ca="1" si="75"/>
        <v>1</v>
      </c>
      <c r="T450" s="17">
        <f t="shared" ca="1" si="76"/>
        <v>5.1190476190476186</v>
      </c>
    </row>
    <row r="451" spans="2:20" x14ac:dyDescent="0.3">
      <c r="B451">
        <f t="shared" ca="1" si="67"/>
        <v>45</v>
      </c>
      <c r="C451" cm="1">
        <f t="array" aca="1" ref="C451" ca="1">INDIRECT(ADDRESS(myRAND(1,C$2,C$8:C$9)+5,C$1))</f>
        <v>0</v>
      </c>
      <c r="D451" cm="1">
        <f t="array" aca="1" ref="D451" ca="1">INDIRECT(ADDRESS(myRAND(1,D$2,D$8:D$9)+5,D$1))</f>
        <v>0</v>
      </c>
      <c r="E451" cm="1">
        <f t="array" aca="1" ref="E451" ca="1">INDIRECT(ADDRESS(myRAND(1,E$2,E$8:E$9)+5,E$1))</f>
        <v>0</v>
      </c>
      <c r="F451" cm="1">
        <f t="array" aca="1" ref="F451" ca="1">INDIRECT(ADDRESS(myRAND(1,F$2,F$8:F$9)+5,F$1))</f>
        <v>1</v>
      </c>
      <c r="G451" cm="1">
        <f t="array" aca="1" ref="G451" ca="1">INDIRECT(ADDRESS(myRAND(1,G$2,G$8:G$9)+5,G$1))</f>
        <v>1</v>
      </c>
      <c r="H451" cm="1">
        <f t="array" aca="1" ref="H451" ca="1">INDIRECT(ADDRESS(myRAND(1,H$2,H$8:H$9)+5,H$1))</f>
        <v>0</v>
      </c>
      <c r="I451" cm="1">
        <f t="array" aca="1" ref="I451" ca="1">INDIRECT(ADDRESS(myRAND(1,I$2,I$8:I$9)+5,I$1))</f>
        <v>1</v>
      </c>
      <c r="J451">
        <f t="shared" ca="1" si="66"/>
        <v>13</v>
      </c>
      <c r="K451">
        <f t="shared" ca="1" si="66"/>
        <v>229</v>
      </c>
      <c r="L451" s="3">
        <f t="shared" ca="1" si="68"/>
        <v>1</v>
      </c>
      <c r="M451" s="13">
        <f t="shared" ca="1" si="69"/>
        <v>7.1094304084287144E-2</v>
      </c>
      <c r="N451">
        <f t="shared" ca="1" si="70"/>
        <v>-2.5700000000000003</v>
      </c>
      <c r="O451">
        <f t="shared" ca="1" si="71"/>
        <v>0</v>
      </c>
      <c r="P451">
        <f t="shared" ca="1" si="72"/>
        <v>0</v>
      </c>
      <c r="Q451">
        <f t="shared" ca="1" si="73"/>
        <v>1</v>
      </c>
      <c r="R451">
        <f t="shared" ca="1" si="74"/>
        <v>0</v>
      </c>
      <c r="S451">
        <f t="shared" ca="1" si="75"/>
        <v>2</v>
      </c>
      <c r="T451" s="17">
        <f t="shared" ca="1" si="76"/>
        <v>4.730952380952381</v>
      </c>
    </row>
    <row r="452" spans="2:20" x14ac:dyDescent="0.3">
      <c r="B452">
        <f t="shared" ca="1" si="67"/>
        <v>62</v>
      </c>
      <c r="C452" cm="1">
        <f t="array" aca="1" ref="C452" ca="1">INDIRECT(ADDRESS(myRAND(1,C$2,C$8:C$9)+5,C$1))</f>
        <v>1</v>
      </c>
      <c r="D452" cm="1">
        <f t="array" aca="1" ref="D452" ca="1">INDIRECT(ADDRESS(myRAND(1,D$2,D$8:D$9)+5,D$1))</f>
        <v>1</v>
      </c>
      <c r="E452" cm="1">
        <f t="array" aca="1" ref="E452" ca="1">INDIRECT(ADDRESS(myRAND(1,E$2,E$8:E$9)+5,E$1))</f>
        <v>1</v>
      </c>
      <c r="F452" cm="1">
        <f t="array" aca="1" ref="F452" ca="1">INDIRECT(ADDRESS(myRAND(1,F$2,F$8:F$9)+5,F$1))</f>
        <v>0</v>
      </c>
      <c r="G452" cm="1">
        <f t="array" aca="1" ref="G452" ca="1">INDIRECT(ADDRESS(myRAND(1,G$2,G$8:G$9)+5,G$1))</f>
        <v>0</v>
      </c>
      <c r="H452" cm="1">
        <f t="array" aca="1" ref="H452" ca="1">INDIRECT(ADDRESS(myRAND(1,H$2,H$8:H$9)+5,H$1))</f>
        <v>1</v>
      </c>
      <c r="I452" cm="1">
        <f t="array" aca="1" ref="I452" ca="1">INDIRECT(ADDRESS(myRAND(1,I$2,I$8:I$9)+5,I$1))</f>
        <v>0</v>
      </c>
      <c r="J452">
        <f t="shared" ca="1" si="66"/>
        <v>15</v>
      </c>
      <c r="K452">
        <f t="shared" ca="1" si="66"/>
        <v>211</v>
      </c>
      <c r="L452" s="3">
        <f t="shared" ca="1" si="68"/>
        <v>3</v>
      </c>
      <c r="M452" s="13">
        <f t="shared" ca="1" si="69"/>
        <v>0.79412962819905253</v>
      </c>
      <c r="N452">
        <f t="shared" ca="1" si="70"/>
        <v>1.3499999999999999</v>
      </c>
      <c r="O452">
        <f t="shared" ca="1" si="71"/>
        <v>0</v>
      </c>
      <c r="P452">
        <f t="shared" ca="1" si="72"/>
        <v>1</v>
      </c>
      <c r="Q452">
        <f t="shared" ca="1" si="73"/>
        <v>0</v>
      </c>
      <c r="R452">
        <f t="shared" ca="1" si="74"/>
        <v>0</v>
      </c>
      <c r="S452">
        <f t="shared" ca="1" si="75"/>
        <v>1</v>
      </c>
      <c r="T452" s="17">
        <f t="shared" ca="1" si="76"/>
        <v>2.9485714285714284</v>
      </c>
    </row>
    <row r="453" spans="2:20" x14ac:dyDescent="0.3">
      <c r="B453">
        <f t="shared" ca="1" si="67"/>
        <v>59</v>
      </c>
      <c r="C453" cm="1">
        <f t="array" aca="1" ref="C453" ca="1">INDIRECT(ADDRESS(myRAND(1,C$2,C$8:C$9)+5,C$1))</f>
        <v>0</v>
      </c>
      <c r="D453" cm="1">
        <f t="array" aca="1" ref="D453" ca="1">INDIRECT(ADDRESS(myRAND(1,D$2,D$8:D$9)+5,D$1))</f>
        <v>0</v>
      </c>
      <c r="E453" cm="1">
        <f t="array" aca="1" ref="E453" ca="1">INDIRECT(ADDRESS(myRAND(1,E$2,E$8:E$9)+5,E$1))</f>
        <v>1</v>
      </c>
      <c r="F453" cm="1">
        <f t="array" aca="1" ref="F453" ca="1">INDIRECT(ADDRESS(myRAND(1,F$2,F$8:F$9)+5,F$1))</f>
        <v>0</v>
      </c>
      <c r="G453" cm="1">
        <f t="array" aca="1" ref="G453" ca="1">INDIRECT(ADDRESS(myRAND(1,G$2,G$8:G$9)+5,G$1))</f>
        <v>0</v>
      </c>
      <c r="H453" cm="1">
        <f t="array" aca="1" ref="H453" ca="1">INDIRECT(ADDRESS(myRAND(1,H$2,H$8:H$9)+5,H$1))</f>
        <v>0</v>
      </c>
      <c r="I453" cm="1">
        <f t="array" aca="1" ref="I453" ca="1">INDIRECT(ADDRESS(myRAND(1,I$2,I$8:I$9)+5,I$1))</f>
        <v>0</v>
      </c>
      <c r="J453">
        <f t="shared" ca="1" si="66"/>
        <v>19</v>
      </c>
      <c r="K453">
        <f t="shared" ca="1" si="66"/>
        <v>240</v>
      </c>
      <c r="L453" s="3">
        <f t="shared" ca="1" si="68"/>
        <v>1</v>
      </c>
      <c r="M453" s="13">
        <f t="shared" ca="1" si="69"/>
        <v>0.11815697780926952</v>
      </c>
      <c r="N453">
        <f t="shared" ca="1" si="70"/>
        <v>-2.0100000000000002</v>
      </c>
      <c r="O453">
        <f t="shared" ca="1" si="71"/>
        <v>0</v>
      </c>
      <c r="P453">
        <f t="shared" ca="1" si="72"/>
        <v>0</v>
      </c>
      <c r="Q453">
        <f t="shared" ca="1" si="73"/>
        <v>1</v>
      </c>
      <c r="R453">
        <f t="shared" ca="1" si="74"/>
        <v>0</v>
      </c>
      <c r="S453">
        <f t="shared" ca="1" si="75"/>
        <v>0</v>
      </c>
      <c r="T453" s="17">
        <f t="shared" ca="1" si="76"/>
        <v>2.3233333333333333</v>
      </c>
    </row>
    <row r="454" spans="2:20" x14ac:dyDescent="0.3">
      <c r="B454">
        <f t="shared" ca="1" si="67"/>
        <v>69</v>
      </c>
      <c r="C454" cm="1">
        <f t="array" aca="1" ref="C454" ca="1">INDIRECT(ADDRESS(myRAND(1,C$2,C$8:C$9)+5,C$1))</f>
        <v>0</v>
      </c>
      <c r="D454" cm="1">
        <f t="array" aca="1" ref="D454" ca="1">INDIRECT(ADDRESS(myRAND(1,D$2,D$8:D$9)+5,D$1))</f>
        <v>0</v>
      </c>
      <c r="E454" cm="1">
        <f t="array" aca="1" ref="E454" ca="1">INDIRECT(ADDRESS(myRAND(1,E$2,E$8:E$9)+5,E$1))</f>
        <v>0</v>
      </c>
      <c r="F454" cm="1">
        <f t="array" aca="1" ref="F454" ca="1">INDIRECT(ADDRESS(myRAND(1,F$2,F$8:F$9)+5,F$1))</f>
        <v>1</v>
      </c>
      <c r="G454" cm="1">
        <f t="array" aca="1" ref="G454" ca="1">INDIRECT(ADDRESS(myRAND(1,G$2,G$8:G$9)+5,G$1))</f>
        <v>0</v>
      </c>
      <c r="H454" cm="1">
        <f t="array" aca="1" ref="H454" ca="1">INDIRECT(ADDRESS(myRAND(1,H$2,H$8:H$9)+5,H$1))</f>
        <v>1</v>
      </c>
      <c r="I454" cm="1">
        <f t="array" aca="1" ref="I454" ca="1">INDIRECT(ADDRESS(myRAND(1,I$2,I$8:I$9)+5,I$1))</f>
        <v>0</v>
      </c>
      <c r="J454">
        <f t="shared" ca="1" si="66"/>
        <v>14</v>
      </c>
      <c r="K454">
        <f t="shared" ca="1" si="66"/>
        <v>213</v>
      </c>
      <c r="L454" s="3">
        <f t="shared" ca="1" si="68"/>
        <v>2</v>
      </c>
      <c r="M454" s="13">
        <f t="shared" ca="1" si="69"/>
        <v>0.16658861357545968</v>
      </c>
      <c r="N454">
        <f t="shared" ca="1" si="70"/>
        <v>-1.6099999999999999</v>
      </c>
      <c r="O454">
        <f t="shared" ca="1" si="71"/>
        <v>0</v>
      </c>
      <c r="P454">
        <f t="shared" ca="1" si="72"/>
        <v>0</v>
      </c>
      <c r="Q454">
        <f t="shared" ca="1" si="73"/>
        <v>1</v>
      </c>
      <c r="R454">
        <f t="shared" ca="1" si="74"/>
        <v>0</v>
      </c>
      <c r="S454">
        <f t="shared" ca="1" si="75"/>
        <v>1</v>
      </c>
      <c r="T454" s="17">
        <f t="shared" ca="1" si="76"/>
        <v>1.9614285714285715</v>
      </c>
    </row>
    <row r="455" spans="2:20" x14ac:dyDescent="0.3">
      <c r="B455">
        <f t="shared" ca="1" si="67"/>
        <v>55</v>
      </c>
      <c r="C455" cm="1">
        <f t="array" aca="1" ref="C455" ca="1">INDIRECT(ADDRESS(myRAND(1,C$2,C$8:C$9)+5,C$1))</f>
        <v>1</v>
      </c>
      <c r="D455" cm="1">
        <f t="array" aca="1" ref="D455" ca="1">INDIRECT(ADDRESS(myRAND(1,D$2,D$8:D$9)+5,D$1))</f>
        <v>0</v>
      </c>
      <c r="E455" cm="1">
        <f t="array" aca="1" ref="E455" ca="1">INDIRECT(ADDRESS(myRAND(1,E$2,E$8:E$9)+5,E$1))</f>
        <v>1</v>
      </c>
      <c r="F455" cm="1">
        <f t="array" aca="1" ref="F455" ca="1">INDIRECT(ADDRESS(myRAND(1,F$2,F$8:F$9)+5,F$1))</f>
        <v>1</v>
      </c>
      <c r="G455" cm="1">
        <f t="array" aca="1" ref="G455" ca="1">INDIRECT(ADDRESS(myRAND(1,G$2,G$8:G$9)+5,G$1))</f>
        <v>0</v>
      </c>
      <c r="H455" cm="1">
        <f t="array" aca="1" ref="H455" ca="1">INDIRECT(ADDRESS(myRAND(1,H$2,H$8:H$9)+5,H$1))</f>
        <v>1</v>
      </c>
      <c r="I455" cm="1">
        <f t="array" aca="1" ref="I455" ca="1">INDIRECT(ADDRESS(myRAND(1,I$2,I$8:I$9)+5,I$1))</f>
        <v>0</v>
      </c>
      <c r="J455">
        <f t="shared" ca="1" si="66"/>
        <v>18</v>
      </c>
      <c r="K455">
        <f t="shared" ca="1" si="66"/>
        <v>216</v>
      </c>
      <c r="L455" s="3">
        <f t="shared" ca="1" si="68"/>
        <v>3</v>
      </c>
      <c r="M455" s="13">
        <f t="shared" ca="1" si="69"/>
        <v>0.74459691582747589</v>
      </c>
      <c r="N455">
        <f t="shared" ca="1" si="70"/>
        <v>1.07</v>
      </c>
      <c r="O455">
        <f t="shared" ca="1" si="71"/>
        <v>0</v>
      </c>
      <c r="P455">
        <f t="shared" ca="1" si="72"/>
        <v>1</v>
      </c>
      <c r="Q455">
        <f t="shared" ca="1" si="73"/>
        <v>0</v>
      </c>
      <c r="R455">
        <f t="shared" ca="1" si="74"/>
        <v>0</v>
      </c>
      <c r="S455">
        <f t="shared" ca="1" si="75"/>
        <v>1</v>
      </c>
      <c r="T455" s="17">
        <f t="shared" ca="1" si="76"/>
        <v>3.1023809523809525</v>
      </c>
    </row>
    <row r="456" spans="2:20" x14ac:dyDescent="0.3">
      <c r="B456">
        <f t="shared" ca="1" si="67"/>
        <v>38</v>
      </c>
      <c r="C456" cm="1">
        <f t="array" aca="1" ref="C456" ca="1">INDIRECT(ADDRESS(myRAND(1,C$2,C$8:C$9)+5,C$1))</f>
        <v>0</v>
      </c>
      <c r="D456" cm="1">
        <f t="array" aca="1" ref="D456" ca="1">INDIRECT(ADDRESS(myRAND(1,D$2,D$8:D$9)+5,D$1))</f>
        <v>0</v>
      </c>
      <c r="E456" cm="1">
        <f t="array" aca="1" ref="E456" ca="1">INDIRECT(ADDRESS(myRAND(1,E$2,E$8:E$9)+5,E$1))</f>
        <v>1</v>
      </c>
      <c r="F456" cm="1">
        <f t="array" aca="1" ref="F456" ca="1">INDIRECT(ADDRESS(myRAND(1,F$2,F$8:F$9)+5,F$1))</f>
        <v>1</v>
      </c>
      <c r="G456" cm="1">
        <f t="array" aca="1" ref="G456" ca="1">INDIRECT(ADDRESS(myRAND(1,G$2,G$8:G$9)+5,G$1))</f>
        <v>1</v>
      </c>
      <c r="H456" cm="1">
        <f t="array" aca="1" ref="H456" ca="1">INDIRECT(ADDRESS(myRAND(1,H$2,H$8:H$9)+5,H$1))</f>
        <v>1</v>
      </c>
      <c r="I456" cm="1">
        <f t="array" aca="1" ref="I456" ca="1">INDIRECT(ADDRESS(myRAND(1,I$2,I$8:I$9)+5,I$1))</f>
        <v>1</v>
      </c>
      <c r="J456">
        <f t="shared" ca="1" si="66"/>
        <v>15</v>
      </c>
      <c r="K456">
        <f t="shared" ca="1" si="66"/>
        <v>238</v>
      </c>
      <c r="L456" s="3">
        <f t="shared" ca="1" si="68"/>
        <v>2</v>
      </c>
      <c r="M456" s="13">
        <f t="shared" ca="1" si="69"/>
        <v>0.27888482197713688</v>
      </c>
      <c r="N456">
        <f t="shared" ca="1" si="70"/>
        <v>-0.95000000000000018</v>
      </c>
      <c r="O456">
        <f t="shared" ca="1" si="71"/>
        <v>0</v>
      </c>
      <c r="P456">
        <f t="shared" ca="1" si="72"/>
        <v>1</v>
      </c>
      <c r="Q456">
        <f t="shared" ca="1" si="73"/>
        <v>0</v>
      </c>
      <c r="R456">
        <f t="shared" ca="1" si="74"/>
        <v>0</v>
      </c>
      <c r="S456">
        <f t="shared" ca="1" si="75"/>
        <v>3</v>
      </c>
      <c r="T456" s="17">
        <f t="shared" ca="1" si="76"/>
        <v>4.8371428571428572</v>
      </c>
    </row>
    <row r="457" spans="2:20" x14ac:dyDescent="0.3">
      <c r="B457">
        <f t="shared" ca="1" si="67"/>
        <v>41</v>
      </c>
      <c r="C457" cm="1">
        <f t="array" aca="1" ref="C457" ca="1">INDIRECT(ADDRESS(myRAND(1,C$2,C$8:C$9)+5,C$1))</f>
        <v>1</v>
      </c>
      <c r="D457" cm="1">
        <f t="array" aca="1" ref="D457" ca="1">INDIRECT(ADDRESS(myRAND(1,D$2,D$8:D$9)+5,D$1))</f>
        <v>0</v>
      </c>
      <c r="E457" cm="1">
        <f t="array" aca="1" ref="E457" ca="1">INDIRECT(ADDRESS(myRAND(1,E$2,E$8:E$9)+5,E$1))</f>
        <v>1</v>
      </c>
      <c r="F457" cm="1">
        <f t="array" aca="1" ref="F457" ca="1">INDIRECT(ADDRESS(myRAND(1,F$2,F$8:F$9)+5,F$1))</f>
        <v>1</v>
      </c>
      <c r="G457" cm="1">
        <f t="array" aca="1" ref="G457" ca="1">INDIRECT(ADDRESS(myRAND(1,G$2,G$8:G$9)+5,G$1))</f>
        <v>0</v>
      </c>
      <c r="H457" cm="1">
        <f t="array" aca="1" ref="H457" ca="1">INDIRECT(ADDRESS(myRAND(1,H$2,H$8:H$9)+5,H$1))</f>
        <v>1</v>
      </c>
      <c r="I457" cm="1">
        <f t="array" aca="1" ref="I457" ca="1">INDIRECT(ADDRESS(myRAND(1,I$2,I$8:I$9)+5,I$1))</f>
        <v>1</v>
      </c>
      <c r="J457">
        <f t="shared" ca="1" si="66"/>
        <v>17</v>
      </c>
      <c r="K457">
        <f t="shared" ca="1" si="66"/>
        <v>225</v>
      </c>
      <c r="L457" s="3">
        <f t="shared" ca="1" si="68"/>
        <v>3</v>
      </c>
      <c r="M457" s="13">
        <f t="shared" ca="1" si="69"/>
        <v>0.6248064744684293</v>
      </c>
      <c r="N457">
        <f t="shared" ca="1" si="70"/>
        <v>0.51</v>
      </c>
      <c r="O457">
        <f t="shared" ca="1" si="71"/>
        <v>0</v>
      </c>
      <c r="P457">
        <f t="shared" ca="1" si="72"/>
        <v>1</v>
      </c>
      <c r="Q457">
        <f t="shared" ca="1" si="73"/>
        <v>0</v>
      </c>
      <c r="R457">
        <f t="shared" ca="1" si="74"/>
        <v>0</v>
      </c>
      <c r="S457">
        <f t="shared" ca="1" si="75"/>
        <v>2</v>
      </c>
      <c r="T457" s="17">
        <f t="shared" ca="1" si="76"/>
        <v>5.9385714285714286</v>
      </c>
    </row>
    <row r="458" spans="2:20" x14ac:dyDescent="0.3">
      <c r="B458">
        <f t="shared" ca="1" si="67"/>
        <v>52</v>
      </c>
      <c r="C458" cm="1">
        <f t="array" aca="1" ref="C458" ca="1">INDIRECT(ADDRESS(myRAND(1,C$2,C$8:C$9)+5,C$1))</f>
        <v>1</v>
      </c>
      <c r="D458" cm="1">
        <f t="array" aca="1" ref="D458" ca="1">INDIRECT(ADDRESS(myRAND(1,D$2,D$8:D$9)+5,D$1))</f>
        <v>0</v>
      </c>
      <c r="E458" cm="1">
        <f t="array" aca="1" ref="E458" ca="1">INDIRECT(ADDRESS(myRAND(1,E$2,E$8:E$9)+5,E$1))</f>
        <v>0</v>
      </c>
      <c r="F458" cm="1">
        <f t="array" aca="1" ref="F458" ca="1">INDIRECT(ADDRESS(myRAND(1,F$2,F$8:F$9)+5,F$1))</f>
        <v>1</v>
      </c>
      <c r="G458" cm="1">
        <f t="array" aca="1" ref="G458" ca="1">INDIRECT(ADDRESS(myRAND(1,G$2,G$8:G$9)+5,G$1))</f>
        <v>0</v>
      </c>
      <c r="H458" cm="1">
        <f t="array" aca="1" ref="H458" ca="1">INDIRECT(ADDRESS(myRAND(1,H$2,H$8:H$9)+5,H$1))</f>
        <v>1</v>
      </c>
      <c r="I458" cm="1">
        <f t="array" aca="1" ref="I458" ca="1">INDIRECT(ADDRESS(myRAND(1,I$2,I$8:I$9)+5,I$1))</f>
        <v>1</v>
      </c>
      <c r="J458">
        <f t="shared" ca="1" si="66"/>
        <v>18</v>
      </c>
      <c r="K458">
        <f t="shared" ca="1" si="66"/>
        <v>223</v>
      </c>
      <c r="L458" s="3">
        <f t="shared" ca="1" si="68"/>
        <v>3</v>
      </c>
      <c r="M458" s="13">
        <f t="shared" ca="1" si="69"/>
        <v>0.27888482197713693</v>
      </c>
      <c r="N458">
        <f t="shared" ca="1" si="70"/>
        <v>-0.95</v>
      </c>
      <c r="O458">
        <f t="shared" ca="1" si="71"/>
        <v>0</v>
      </c>
      <c r="P458">
        <f t="shared" ca="1" si="72"/>
        <v>0</v>
      </c>
      <c r="Q458">
        <f t="shared" ca="1" si="73"/>
        <v>1</v>
      </c>
      <c r="R458">
        <f t="shared" ca="1" si="74"/>
        <v>0</v>
      </c>
      <c r="S458">
        <f t="shared" ca="1" si="75"/>
        <v>2</v>
      </c>
      <c r="T458" s="17">
        <f t="shared" ca="1" si="76"/>
        <v>6.1057142857142859</v>
      </c>
    </row>
    <row r="459" spans="2:20" x14ac:dyDescent="0.3">
      <c r="B459">
        <f t="shared" ca="1" si="67"/>
        <v>41</v>
      </c>
      <c r="C459" cm="1">
        <f t="array" aca="1" ref="C459" ca="1">INDIRECT(ADDRESS(myRAND(1,C$2,C$8:C$9)+5,C$1))</f>
        <v>0</v>
      </c>
      <c r="D459" cm="1">
        <f t="array" aca="1" ref="D459" ca="1">INDIRECT(ADDRESS(myRAND(1,D$2,D$8:D$9)+5,D$1))</f>
        <v>1</v>
      </c>
      <c r="E459" cm="1">
        <f t="array" aca="1" ref="E459" ca="1">INDIRECT(ADDRESS(myRAND(1,E$2,E$8:E$9)+5,E$1))</f>
        <v>1</v>
      </c>
      <c r="F459" cm="1">
        <f t="array" aca="1" ref="F459" ca="1">INDIRECT(ADDRESS(myRAND(1,F$2,F$8:F$9)+5,F$1))</f>
        <v>1</v>
      </c>
      <c r="G459" cm="1">
        <f t="array" aca="1" ref="G459" ca="1">INDIRECT(ADDRESS(myRAND(1,G$2,G$8:G$9)+5,G$1))</f>
        <v>0</v>
      </c>
      <c r="H459" cm="1">
        <f t="array" aca="1" ref="H459" ca="1">INDIRECT(ADDRESS(myRAND(1,H$2,H$8:H$9)+5,H$1))</f>
        <v>0</v>
      </c>
      <c r="I459" cm="1">
        <f t="array" aca="1" ref="I459" ca="1">INDIRECT(ADDRESS(myRAND(1,I$2,I$8:I$9)+5,I$1))</f>
        <v>0</v>
      </c>
      <c r="J459">
        <f t="shared" ca="1" si="66"/>
        <v>10</v>
      </c>
      <c r="K459">
        <f t="shared" ca="1" si="66"/>
        <v>206</v>
      </c>
      <c r="L459" s="3">
        <f t="shared" ca="1" si="68"/>
        <v>1</v>
      </c>
      <c r="M459" s="13">
        <f t="shared" ca="1" si="69"/>
        <v>0.11007257436250302</v>
      </c>
      <c r="N459">
        <f t="shared" ca="1" si="70"/>
        <v>-2.09</v>
      </c>
      <c r="O459">
        <f t="shared" ca="1" si="71"/>
        <v>1</v>
      </c>
      <c r="P459">
        <f t="shared" ca="1" si="72"/>
        <v>0</v>
      </c>
      <c r="Q459">
        <f t="shared" ca="1" si="73"/>
        <v>0</v>
      </c>
      <c r="R459">
        <f t="shared" ca="1" si="74"/>
        <v>0</v>
      </c>
      <c r="S459">
        <f t="shared" ca="1" si="75"/>
        <v>0</v>
      </c>
      <c r="T459" s="17">
        <f t="shared" ca="1" si="76"/>
        <v>1.3814285714285712</v>
      </c>
    </row>
    <row r="460" spans="2:20" x14ac:dyDescent="0.3">
      <c r="B460">
        <f t="shared" ca="1" si="67"/>
        <v>55</v>
      </c>
      <c r="C460" cm="1">
        <f t="array" aca="1" ref="C460" ca="1">INDIRECT(ADDRESS(myRAND(1,C$2,C$8:C$9)+5,C$1))</f>
        <v>1</v>
      </c>
      <c r="D460" cm="1">
        <f t="array" aca="1" ref="D460" ca="1">INDIRECT(ADDRESS(myRAND(1,D$2,D$8:D$9)+5,D$1))</f>
        <v>1</v>
      </c>
      <c r="E460" cm="1">
        <f t="array" aca="1" ref="E460" ca="1">INDIRECT(ADDRESS(myRAND(1,E$2,E$8:E$9)+5,E$1))</f>
        <v>1</v>
      </c>
      <c r="F460" cm="1">
        <f t="array" aca="1" ref="F460" ca="1">INDIRECT(ADDRESS(myRAND(1,F$2,F$8:F$9)+5,F$1))</f>
        <v>1</v>
      </c>
      <c r="G460" cm="1">
        <f t="array" aca="1" ref="G460" ca="1">INDIRECT(ADDRESS(myRAND(1,G$2,G$8:G$9)+5,G$1))</f>
        <v>0</v>
      </c>
      <c r="H460" cm="1">
        <f t="array" aca="1" ref="H460" ca="1">INDIRECT(ADDRESS(myRAND(1,H$2,H$8:H$9)+5,H$1))</f>
        <v>0</v>
      </c>
      <c r="I460" cm="1">
        <f t="array" aca="1" ref="I460" ca="1">INDIRECT(ADDRESS(myRAND(1,I$2,I$8:I$9)+5,I$1))</f>
        <v>1</v>
      </c>
      <c r="J460">
        <f t="shared" ca="1" si="66"/>
        <v>12</v>
      </c>
      <c r="K460">
        <f t="shared" ca="1" si="66"/>
        <v>192</v>
      </c>
      <c r="L460" s="3">
        <f t="shared" ca="1" si="68"/>
        <v>3</v>
      </c>
      <c r="M460" s="13">
        <f t="shared" ca="1" si="69"/>
        <v>0.45264238185691075</v>
      </c>
      <c r="N460">
        <f t="shared" ca="1" si="70"/>
        <v>-0.18999999999999984</v>
      </c>
      <c r="O460">
        <f t="shared" ca="1" si="71"/>
        <v>1</v>
      </c>
      <c r="P460">
        <f t="shared" ca="1" si="72"/>
        <v>0</v>
      </c>
      <c r="Q460">
        <f t="shared" ca="1" si="73"/>
        <v>0</v>
      </c>
      <c r="R460">
        <f t="shared" ca="1" si="74"/>
        <v>0</v>
      </c>
      <c r="S460">
        <f t="shared" ca="1" si="75"/>
        <v>1</v>
      </c>
      <c r="T460" s="17">
        <f t="shared" ca="1" si="76"/>
        <v>5.5880952380952387</v>
      </c>
    </row>
    <row r="461" spans="2:20" x14ac:dyDescent="0.3">
      <c r="B461">
        <f t="shared" ca="1" si="67"/>
        <v>51</v>
      </c>
      <c r="C461" cm="1">
        <f t="array" aca="1" ref="C461" ca="1">INDIRECT(ADDRESS(myRAND(1,C$2,C$8:C$9)+5,C$1))</f>
        <v>0</v>
      </c>
      <c r="D461" cm="1">
        <f t="array" aca="1" ref="D461" ca="1">INDIRECT(ADDRESS(myRAND(1,D$2,D$8:D$9)+5,D$1))</f>
        <v>0</v>
      </c>
      <c r="E461" cm="1">
        <f t="array" aca="1" ref="E461" ca="1">INDIRECT(ADDRESS(myRAND(1,E$2,E$8:E$9)+5,E$1))</f>
        <v>1</v>
      </c>
      <c r="F461" cm="1">
        <f t="array" aca="1" ref="F461" ca="1">INDIRECT(ADDRESS(myRAND(1,F$2,F$8:F$9)+5,F$1))</f>
        <v>0</v>
      </c>
      <c r="G461" cm="1">
        <f t="array" aca="1" ref="G461" ca="1">INDIRECT(ADDRESS(myRAND(1,G$2,G$8:G$9)+5,G$1))</f>
        <v>1</v>
      </c>
      <c r="H461" cm="1">
        <f t="array" aca="1" ref="H461" ca="1">INDIRECT(ADDRESS(myRAND(1,H$2,H$8:H$9)+5,H$1))</f>
        <v>1</v>
      </c>
      <c r="I461" cm="1">
        <f t="array" aca="1" ref="I461" ca="1">INDIRECT(ADDRESS(myRAND(1,I$2,I$8:I$9)+5,I$1))</f>
        <v>1</v>
      </c>
      <c r="J461">
        <f t="shared" ca="1" si="66"/>
        <v>13</v>
      </c>
      <c r="K461">
        <f t="shared" ca="1" si="66"/>
        <v>200</v>
      </c>
      <c r="L461" s="3">
        <f t="shared" ca="1" si="68"/>
        <v>1</v>
      </c>
      <c r="M461" s="13">
        <f t="shared" ca="1" si="69"/>
        <v>8.8668663254733285E-2</v>
      </c>
      <c r="N461">
        <f t="shared" ca="1" si="70"/>
        <v>-2.33</v>
      </c>
      <c r="O461">
        <f t="shared" ca="1" si="71"/>
        <v>0</v>
      </c>
      <c r="P461">
        <f t="shared" ca="1" si="72"/>
        <v>0</v>
      </c>
      <c r="Q461">
        <f t="shared" ca="1" si="73"/>
        <v>1</v>
      </c>
      <c r="R461">
        <f t="shared" ca="1" si="74"/>
        <v>0</v>
      </c>
      <c r="S461">
        <f t="shared" ca="1" si="75"/>
        <v>3</v>
      </c>
      <c r="T461" s="17">
        <f t="shared" ca="1" si="76"/>
        <v>4.652857142857143</v>
      </c>
    </row>
    <row r="462" spans="2:20" x14ac:dyDescent="0.3">
      <c r="B462">
        <f t="shared" ca="1" si="67"/>
        <v>49</v>
      </c>
      <c r="C462" cm="1">
        <f t="array" aca="1" ref="C462" ca="1">INDIRECT(ADDRESS(myRAND(1,C$2,C$8:C$9)+5,C$1))</f>
        <v>0</v>
      </c>
      <c r="D462" cm="1">
        <f t="array" aca="1" ref="D462" ca="1">INDIRECT(ADDRESS(myRAND(1,D$2,D$8:D$9)+5,D$1))</f>
        <v>1</v>
      </c>
      <c r="E462" cm="1">
        <f t="array" aca="1" ref="E462" ca="1">INDIRECT(ADDRESS(myRAND(1,E$2,E$8:E$9)+5,E$1))</f>
        <v>1</v>
      </c>
      <c r="F462" cm="1">
        <f t="array" aca="1" ref="F462" ca="1">INDIRECT(ADDRESS(myRAND(1,F$2,F$8:F$9)+5,F$1))</f>
        <v>1</v>
      </c>
      <c r="G462" cm="1">
        <f t="array" aca="1" ref="G462" ca="1">INDIRECT(ADDRESS(myRAND(1,G$2,G$8:G$9)+5,G$1))</f>
        <v>1</v>
      </c>
      <c r="H462" cm="1">
        <f t="array" aca="1" ref="H462" ca="1">INDIRECT(ADDRESS(myRAND(1,H$2,H$8:H$9)+5,H$1))</f>
        <v>0</v>
      </c>
      <c r="I462" cm="1">
        <f t="array" aca="1" ref="I462" ca="1">INDIRECT(ADDRESS(myRAND(1,I$2,I$8:I$9)+5,I$1))</f>
        <v>1</v>
      </c>
      <c r="J462">
        <f t="shared" ca="1" si="66"/>
        <v>15</v>
      </c>
      <c r="K462">
        <f t="shared" ca="1" si="66"/>
        <v>232</v>
      </c>
      <c r="L462" s="3">
        <f t="shared" ca="1" si="68"/>
        <v>1</v>
      </c>
      <c r="M462" s="13">
        <f t="shared" ca="1" si="69"/>
        <v>0.14554232893696525</v>
      </c>
      <c r="N462">
        <f t="shared" ca="1" si="70"/>
        <v>-1.77</v>
      </c>
      <c r="O462">
        <f t="shared" ca="1" si="71"/>
        <v>1</v>
      </c>
      <c r="P462">
        <f t="shared" ca="1" si="72"/>
        <v>0</v>
      </c>
      <c r="Q462">
        <f t="shared" ca="1" si="73"/>
        <v>0</v>
      </c>
      <c r="R462">
        <f t="shared" ca="1" si="74"/>
        <v>0</v>
      </c>
      <c r="S462">
        <f t="shared" ca="1" si="75"/>
        <v>2</v>
      </c>
      <c r="T462" s="17">
        <f t="shared" ca="1" si="76"/>
        <v>4.918571428571429</v>
      </c>
    </row>
    <row r="463" spans="2:20" x14ac:dyDescent="0.3">
      <c r="B463">
        <f t="shared" ca="1" si="67"/>
        <v>52</v>
      </c>
      <c r="C463" cm="1">
        <f t="array" aca="1" ref="C463" ca="1">INDIRECT(ADDRESS(myRAND(1,C$2,C$8:C$9)+5,C$1))</f>
        <v>0</v>
      </c>
      <c r="D463" cm="1">
        <f t="array" aca="1" ref="D463" ca="1">INDIRECT(ADDRESS(myRAND(1,D$2,D$8:D$9)+5,D$1))</f>
        <v>0</v>
      </c>
      <c r="E463" cm="1">
        <f t="array" aca="1" ref="E463" ca="1">INDIRECT(ADDRESS(myRAND(1,E$2,E$8:E$9)+5,E$1))</f>
        <v>1</v>
      </c>
      <c r="F463" cm="1">
        <f t="array" aca="1" ref="F463" ca="1">INDIRECT(ADDRESS(myRAND(1,F$2,F$8:F$9)+5,F$1))</f>
        <v>0</v>
      </c>
      <c r="G463" cm="1">
        <f t="array" aca="1" ref="G463" ca="1">INDIRECT(ADDRESS(myRAND(1,G$2,G$8:G$9)+5,G$1))</f>
        <v>0</v>
      </c>
      <c r="H463" cm="1">
        <f t="array" aca="1" ref="H463" ca="1">INDIRECT(ADDRESS(myRAND(1,H$2,H$8:H$9)+5,H$1))</f>
        <v>0</v>
      </c>
      <c r="I463" cm="1">
        <f t="array" aca="1" ref="I463" ca="1">INDIRECT(ADDRESS(myRAND(1,I$2,I$8:I$9)+5,I$1))</f>
        <v>0</v>
      </c>
      <c r="J463">
        <f t="shared" ca="1" si="66"/>
        <v>12</v>
      </c>
      <c r="K463">
        <f t="shared" ca="1" si="66"/>
        <v>220</v>
      </c>
      <c r="L463" s="3">
        <f t="shared" ca="1" si="68"/>
        <v>1</v>
      </c>
      <c r="M463" s="13">
        <f t="shared" ca="1" si="69"/>
        <v>9.195454993100434E-2</v>
      </c>
      <c r="N463">
        <f t="shared" ca="1" si="70"/>
        <v>-2.29</v>
      </c>
      <c r="O463">
        <f t="shared" ca="1" si="71"/>
        <v>0</v>
      </c>
      <c r="P463">
        <f t="shared" ca="1" si="72"/>
        <v>0</v>
      </c>
      <c r="Q463">
        <f t="shared" ca="1" si="73"/>
        <v>1</v>
      </c>
      <c r="R463">
        <f t="shared" ca="1" si="74"/>
        <v>0</v>
      </c>
      <c r="S463">
        <f t="shared" ca="1" si="75"/>
        <v>0</v>
      </c>
      <c r="T463" s="17">
        <f t="shared" ca="1" si="76"/>
        <v>1.6914285714285715</v>
      </c>
    </row>
    <row r="464" spans="2:20" x14ac:dyDescent="0.3">
      <c r="B464">
        <f t="shared" ca="1" si="67"/>
        <v>59</v>
      </c>
      <c r="C464" cm="1">
        <f t="array" aca="1" ref="C464" ca="1">INDIRECT(ADDRESS(myRAND(1,C$2,C$8:C$9)+5,C$1))</f>
        <v>1</v>
      </c>
      <c r="D464" cm="1">
        <f t="array" aca="1" ref="D464" ca="1">INDIRECT(ADDRESS(myRAND(1,D$2,D$8:D$9)+5,D$1))</f>
        <v>1</v>
      </c>
      <c r="E464" cm="1">
        <f t="array" aca="1" ref="E464" ca="1">INDIRECT(ADDRESS(myRAND(1,E$2,E$8:E$9)+5,E$1))</f>
        <v>1</v>
      </c>
      <c r="F464" cm="1">
        <f t="array" aca="1" ref="F464" ca="1">INDIRECT(ADDRESS(myRAND(1,F$2,F$8:F$9)+5,F$1))</f>
        <v>0</v>
      </c>
      <c r="G464" cm="1">
        <f t="array" aca="1" ref="G464" ca="1">INDIRECT(ADDRESS(myRAND(1,G$2,G$8:G$9)+5,G$1))</f>
        <v>0</v>
      </c>
      <c r="H464" cm="1">
        <f t="array" aca="1" ref="H464" ca="1">INDIRECT(ADDRESS(myRAND(1,H$2,H$8:H$9)+5,H$1))</f>
        <v>0</v>
      </c>
      <c r="I464" cm="1">
        <f t="array" aca="1" ref="I464" ca="1">INDIRECT(ADDRESS(myRAND(1,I$2,I$8:I$9)+5,I$1))</f>
        <v>0</v>
      </c>
      <c r="J464">
        <f t="shared" ref="J464:K527" ca="1" si="77">IF(ROUND(NORMINV(RAND(),J$6,J$7),0)&lt;J$8,J$8,ROUND(NORMINV(RAND(),J$6,J$7),0))</f>
        <v>18</v>
      </c>
      <c r="K464">
        <f t="shared" ca="1" si="77"/>
        <v>218</v>
      </c>
      <c r="L464" s="3">
        <f t="shared" ca="1" si="68"/>
        <v>3</v>
      </c>
      <c r="M464" s="13">
        <f t="shared" ca="1" si="69"/>
        <v>0.77381857426945377</v>
      </c>
      <c r="N464">
        <f t="shared" ca="1" si="70"/>
        <v>1.2299999999999998</v>
      </c>
      <c r="O464">
        <f t="shared" ca="1" si="71"/>
        <v>0</v>
      </c>
      <c r="P464">
        <f t="shared" ca="1" si="72"/>
        <v>1</v>
      </c>
      <c r="Q464">
        <f t="shared" ca="1" si="73"/>
        <v>0</v>
      </c>
      <c r="R464">
        <f t="shared" ca="1" si="74"/>
        <v>0</v>
      </c>
      <c r="S464">
        <f t="shared" ca="1" si="75"/>
        <v>0</v>
      </c>
      <c r="T464" s="17">
        <f t="shared" ca="1" si="76"/>
        <v>3.151904761904762</v>
      </c>
    </row>
    <row r="465" spans="2:20" x14ac:dyDescent="0.3">
      <c r="B465">
        <f t="shared" ref="B465:B528" ca="1" si="78">IF(ROUND(NORMINV(RAND(),B$6,B$7),0)&lt;B$8,B$8,ROUND(NORMINV(RAND(),B$6,B$7),0))</f>
        <v>37</v>
      </c>
      <c r="C465" cm="1">
        <f t="array" aca="1" ref="C465" ca="1">INDIRECT(ADDRESS(myRAND(1,C$2,C$8:C$9)+5,C$1))</f>
        <v>1</v>
      </c>
      <c r="D465" cm="1">
        <f t="array" aca="1" ref="D465" ca="1">INDIRECT(ADDRESS(myRAND(1,D$2,D$8:D$9)+5,D$1))</f>
        <v>1</v>
      </c>
      <c r="E465" cm="1">
        <f t="array" aca="1" ref="E465" ca="1">INDIRECT(ADDRESS(myRAND(1,E$2,E$8:E$9)+5,E$1))</f>
        <v>0</v>
      </c>
      <c r="F465" cm="1">
        <f t="array" aca="1" ref="F465" ca="1">INDIRECT(ADDRESS(myRAND(1,F$2,F$8:F$9)+5,F$1))</f>
        <v>1</v>
      </c>
      <c r="G465" cm="1">
        <f t="array" aca="1" ref="G465" ca="1">INDIRECT(ADDRESS(myRAND(1,G$2,G$8:G$9)+5,G$1))</f>
        <v>0</v>
      </c>
      <c r="H465" cm="1">
        <f t="array" aca="1" ref="H465" ca="1">INDIRECT(ADDRESS(myRAND(1,H$2,H$8:H$9)+5,H$1))</f>
        <v>0</v>
      </c>
      <c r="I465" cm="1">
        <f t="array" aca="1" ref="I465" ca="1">INDIRECT(ADDRESS(myRAND(1,I$2,I$8:I$9)+5,I$1))</f>
        <v>0</v>
      </c>
      <c r="J465">
        <f t="shared" ca="1" si="77"/>
        <v>14</v>
      </c>
      <c r="K465">
        <f t="shared" ca="1" si="77"/>
        <v>187</v>
      </c>
      <c r="L465" s="3">
        <f t="shared" ref="L465:L528" ca="1" si="79">IF(R465=0,IF(M465&lt;$M$11,1,IF(M465&lt;M461,2,3)),IF(AND(T465&lt;$M$8,S465&lt;$M$9),1,3))</f>
        <v>3</v>
      </c>
      <c r="M465" s="13">
        <f t="shared" ref="M465:M528" ca="1" si="80">1/(1+EXP(-N465))</f>
        <v>0.58661757891733002</v>
      </c>
      <c r="N465">
        <f t="shared" ref="N465:N528" ca="1" si="81">-4.37+0.04*B465+1.34 *C465+1.9 * P465+  0.64 *O465</f>
        <v>0.34999999999999987</v>
      </c>
      <c r="O465">
        <f t="shared" ref="O465:O528" ca="1" si="82">IF(SUM(D465:F465)=3,1,0)</f>
        <v>0</v>
      </c>
      <c r="P465">
        <f t="shared" ref="P465:P528" ca="1" si="83">IF(SUM(D465:F465)=2,1,0)</f>
        <v>1</v>
      </c>
      <c r="Q465">
        <f t="shared" ref="Q465:Q528" ca="1" si="84">IF(SUM(D465:F465)=1,1,0)</f>
        <v>0</v>
      </c>
      <c r="R465">
        <f t="shared" ref="R465:R528" ca="1" si="85">IF(SUM(D465:G465)=0,1,0)</f>
        <v>0</v>
      </c>
      <c r="S465">
        <f t="shared" ref="S465:S528" ca="1" si="86">SUM(G465:I465)</f>
        <v>0</v>
      </c>
      <c r="T465" s="17">
        <f t="shared" ref="T465:T528" ca="1" si="87">(B465-20)/100 *$T$5 + C465*$T$6+(K465-100)/$K$6*$T$7+J465/$J$6*$T$8+I465*$T$9</f>
        <v>2.5176190476190476</v>
      </c>
    </row>
    <row r="466" spans="2:20" x14ac:dyDescent="0.3">
      <c r="B466">
        <f t="shared" ca="1" si="78"/>
        <v>50</v>
      </c>
      <c r="C466" cm="1">
        <f t="array" aca="1" ref="C466" ca="1">INDIRECT(ADDRESS(myRAND(1,C$2,C$8:C$9)+5,C$1))</f>
        <v>1</v>
      </c>
      <c r="D466" cm="1">
        <f t="array" aca="1" ref="D466" ca="1">INDIRECT(ADDRESS(myRAND(1,D$2,D$8:D$9)+5,D$1))</f>
        <v>0</v>
      </c>
      <c r="E466" cm="1">
        <f t="array" aca="1" ref="E466" ca="1">INDIRECT(ADDRESS(myRAND(1,E$2,E$8:E$9)+5,E$1))</f>
        <v>1</v>
      </c>
      <c r="F466" cm="1">
        <f t="array" aca="1" ref="F466" ca="1">INDIRECT(ADDRESS(myRAND(1,F$2,F$8:F$9)+5,F$1))</f>
        <v>0</v>
      </c>
      <c r="G466" cm="1">
        <f t="array" aca="1" ref="G466" ca="1">INDIRECT(ADDRESS(myRAND(1,G$2,G$8:G$9)+5,G$1))</f>
        <v>1</v>
      </c>
      <c r="H466" cm="1">
        <f t="array" aca="1" ref="H466" ca="1">INDIRECT(ADDRESS(myRAND(1,H$2,H$8:H$9)+5,H$1))</f>
        <v>1</v>
      </c>
      <c r="I466" cm="1">
        <f t="array" aca="1" ref="I466" ca="1">INDIRECT(ADDRESS(myRAND(1,I$2,I$8:I$9)+5,I$1))</f>
        <v>1</v>
      </c>
      <c r="J466">
        <f t="shared" ca="1" si="77"/>
        <v>17</v>
      </c>
      <c r="K466">
        <f t="shared" ca="1" si="77"/>
        <v>208</v>
      </c>
      <c r="L466" s="3">
        <f t="shared" ca="1" si="79"/>
        <v>3</v>
      </c>
      <c r="M466" s="13">
        <f t="shared" ca="1" si="80"/>
        <v>0.26308410416657979</v>
      </c>
      <c r="N466">
        <f t="shared" ca="1" si="81"/>
        <v>-1.03</v>
      </c>
      <c r="O466">
        <f t="shared" ca="1" si="82"/>
        <v>0</v>
      </c>
      <c r="P466">
        <f t="shared" ca="1" si="83"/>
        <v>0</v>
      </c>
      <c r="Q466">
        <f t="shared" ca="1" si="84"/>
        <v>1</v>
      </c>
      <c r="R466">
        <f t="shared" ca="1" si="85"/>
        <v>0</v>
      </c>
      <c r="S466">
        <f t="shared" ca="1" si="86"/>
        <v>3</v>
      </c>
      <c r="T466" s="17">
        <f t="shared" ca="1" si="87"/>
        <v>5.9476190476190478</v>
      </c>
    </row>
    <row r="467" spans="2:20" x14ac:dyDescent="0.3">
      <c r="B467">
        <f t="shared" ca="1" si="78"/>
        <v>46</v>
      </c>
      <c r="C467" cm="1">
        <f t="array" aca="1" ref="C467" ca="1">INDIRECT(ADDRESS(myRAND(1,C$2,C$8:C$9)+5,C$1))</f>
        <v>1</v>
      </c>
      <c r="D467" cm="1">
        <f t="array" aca="1" ref="D467" ca="1">INDIRECT(ADDRESS(myRAND(1,D$2,D$8:D$9)+5,D$1))</f>
        <v>1</v>
      </c>
      <c r="E467" cm="1">
        <f t="array" aca="1" ref="E467" ca="1">INDIRECT(ADDRESS(myRAND(1,E$2,E$8:E$9)+5,E$1))</f>
        <v>0</v>
      </c>
      <c r="F467" cm="1">
        <f t="array" aca="1" ref="F467" ca="1">INDIRECT(ADDRESS(myRAND(1,F$2,F$8:F$9)+5,F$1))</f>
        <v>1</v>
      </c>
      <c r="G467" cm="1">
        <f t="array" aca="1" ref="G467" ca="1">INDIRECT(ADDRESS(myRAND(1,G$2,G$8:G$9)+5,G$1))</f>
        <v>0</v>
      </c>
      <c r="H467" cm="1">
        <f t="array" aca="1" ref="H467" ca="1">INDIRECT(ADDRESS(myRAND(1,H$2,H$8:H$9)+5,H$1))</f>
        <v>0</v>
      </c>
      <c r="I467" cm="1">
        <f t="array" aca="1" ref="I467" ca="1">INDIRECT(ADDRESS(myRAND(1,I$2,I$8:I$9)+5,I$1))</f>
        <v>0</v>
      </c>
      <c r="J467">
        <f t="shared" ca="1" si="77"/>
        <v>16</v>
      </c>
      <c r="K467">
        <f t="shared" ca="1" si="77"/>
        <v>204</v>
      </c>
      <c r="L467" s="3">
        <f t="shared" ca="1" si="79"/>
        <v>3</v>
      </c>
      <c r="M467" s="13">
        <f t="shared" ca="1" si="80"/>
        <v>0.6704011598088685</v>
      </c>
      <c r="N467">
        <f t="shared" ca="1" si="81"/>
        <v>0.70999999999999974</v>
      </c>
      <c r="O467">
        <f t="shared" ca="1" si="82"/>
        <v>0</v>
      </c>
      <c r="P467">
        <f t="shared" ca="1" si="83"/>
        <v>1</v>
      </c>
      <c r="Q467">
        <f t="shared" ca="1" si="84"/>
        <v>0</v>
      </c>
      <c r="R467">
        <f t="shared" ca="1" si="85"/>
        <v>0</v>
      </c>
      <c r="S467">
        <f t="shared" ca="1" si="86"/>
        <v>0</v>
      </c>
      <c r="T467" s="17">
        <f t="shared" ca="1" si="87"/>
        <v>2.8219047619047619</v>
      </c>
    </row>
    <row r="468" spans="2:20" x14ac:dyDescent="0.3">
      <c r="B468">
        <f t="shared" ca="1" si="78"/>
        <v>46</v>
      </c>
      <c r="C468" cm="1">
        <f t="array" aca="1" ref="C468" ca="1">INDIRECT(ADDRESS(myRAND(1,C$2,C$8:C$9)+5,C$1))</f>
        <v>0</v>
      </c>
      <c r="D468" cm="1">
        <f t="array" aca="1" ref="D468" ca="1">INDIRECT(ADDRESS(myRAND(1,D$2,D$8:D$9)+5,D$1))</f>
        <v>1</v>
      </c>
      <c r="E468" cm="1">
        <f t="array" aca="1" ref="E468" ca="1">INDIRECT(ADDRESS(myRAND(1,E$2,E$8:E$9)+5,E$1))</f>
        <v>0</v>
      </c>
      <c r="F468" cm="1">
        <f t="array" aca="1" ref="F468" ca="1">INDIRECT(ADDRESS(myRAND(1,F$2,F$8:F$9)+5,F$1))</f>
        <v>1</v>
      </c>
      <c r="G468" cm="1">
        <f t="array" aca="1" ref="G468" ca="1">INDIRECT(ADDRESS(myRAND(1,G$2,G$8:G$9)+5,G$1))</f>
        <v>0</v>
      </c>
      <c r="H468" cm="1">
        <f t="array" aca="1" ref="H468" ca="1">INDIRECT(ADDRESS(myRAND(1,H$2,H$8:H$9)+5,H$1))</f>
        <v>0</v>
      </c>
      <c r="I468" cm="1">
        <f t="array" aca="1" ref="I468" ca="1">INDIRECT(ADDRESS(myRAND(1,I$2,I$8:I$9)+5,I$1))</f>
        <v>0</v>
      </c>
      <c r="J468">
        <f t="shared" ca="1" si="77"/>
        <v>20</v>
      </c>
      <c r="K468">
        <f t="shared" ca="1" si="77"/>
        <v>234</v>
      </c>
      <c r="L468" s="3">
        <f t="shared" ca="1" si="79"/>
        <v>2</v>
      </c>
      <c r="M468" s="13">
        <f t="shared" ca="1" si="80"/>
        <v>0.34751053780725544</v>
      </c>
      <c r="N468">
        <f t="shared" ca="1" si="81"/>
        <v>-0.63000000000000034</v>
      </c>
      <c r="O468">
        <f t="shared" ca="1" si="82"/>
        <v>0</v>
      </c>
      <c r="P468">
        <f t="shared" ca="1" si="83"/>
        <v>1</v>
      </c>
      <c r="Q468">
        <f t="shared" ca="1" si="84"/>
        <v>0</v>
      </c>
      <c r="R468">
        <f t="shared" ca="1" si="85"/>
        <v>0</v>
      </c>
      <c r="S468">
        <f t="shared" ca="1" si="86"/>
        <v>0</v>
      </c>
      <c r="T468" s="17">
        <f t="shared" ca="1" si="87"/>
        <v>2.2314285714285713</v>
      </c>
    </row>
    <row r="469" spans="2:20" x14ac:dyDescent="0.3">
      <c r="B469">
        <f t="shared" ca="1" si="78"/>
        <v>50</v>
      </c>
      <c r="C469" cm="1">
        <f t="array" aca="1" ref="C469" ca="1">INDIRECT(ADDRESS(myRAND(1,C$2,C$8:C$9)+5,C$1))</f>
        <v>1</v>
      </c>
      <c r="D469" cm="1">
        <f t="array" aca="1" ref="D469" ca="1">INDIRECT(ADDRESS(myRAND(1,D$2,D$8:D$9)+5,D$1))</f>
        <v>1</v>
      </c>
      <c r="E469" cm="1">
        <f t="array" aca="1" ref="E469" ca="1">INDIRECT(ADDRESS(myRAND(1,E$2,E$8:E$9)+5,E$1))</f>
        <v>0</v>
      </c>
      <c r="F469" cm="1">
        <f t="array" aca="1" ref="F469" ca="1">INDIRECT(ADDRESS(myRAND(1,F$2,F$8:F$9)+5,F$1))</f>
        <v>1</v>
      </c>
      <c r="G469" cm="1">
        <f t="array" aca="1" ref="G469" ca="1">INDIRECT(ADDRESS(myRAND(1,G$2,G$8:G$9)+5,G$1))</f>
        <v>0</v>
      </c>
      <c r="H469" cm="1">
        <f t="array" aca="1" ref="H469" ca="1">INDIRECT(ADDRESS(myRAND(1,H$2,H$8:H$9)+5,H$1))</f>
        <v>0</v>
      </c>
      <c r="I469" cm="1">
        <f t="array" aca="1" ref="I469" ca="1">INDIRECT(ADDRESS(myRAND(1,I$2,I$8:I$9)+5,I$1))</f>
        <v>0</v>
      </c>
      <c r="J469">
        <f t="shared" ca="1" si="77"/>
        <v>13</v>
      </c>
      <c r="K469">
        <f t="shared" ca="1" si="77"/>
        <v>185</v>
      </c>
      <c r="L469" s="3">
        <f t="shared" ca="1" si="79"/>
        <v>3</v>
      </c>
      <c r="M469" s="13">
        <f t="shared" ca="1" si="80"/>
        <v>0.70474569799809106</v>
      </c>
      <c r="N469">
        <f t="shared" ca="1" si="81"/>
        <v>0.86999999999999988</v>
      </c>
      <c r="O469">
        <f t="shared" ca="1" si="82"/>
        <v>0</v>
      </c>
      <c r="P469">
        <f t="shared" ca="1" si="83"/>
        <v>1</v>
      </c>
      <c r="Q469">
        <f t="shared" ca="1" si="84"/>
        <v>0</v>
      </c>
      <c r="R469">
        <f t="shared" ca="1" si="85"/>
        <v>0</v>
      </c>
      <c r="S469">
        <f t="shared" ca="1" si="86"/>
        <v>0</v>
      </c>
      <c r="T469" s="17">
        <f t="shared" ca="1" si="87"/>
        <v>2.5714285714285716</v>
      </c>
    </row>
    <row r="470" spans="2:20" x14ac:dyDescent="0.3">
      <c r="B470">
        <f t="shared" ca="1" si="78"/>
        <v>51</v>
      </c>
      <c r="C470" cm="1">
        <f t="array" aca="1" ref="C470" ca="1">INDIRECT(ADDRESS(myRAND(1,C$2,C$8:C$9)+5,C$1))</f>
        <v>0</v>
      </c>
      <c r="D470" cm="1">
        <f t="array" aca="1" ref="D470" ca="1">INDIRECT(ADDRESS(myRAND(1,D$2,D$8:D$9)+5,D$1))</f>
        <v>0</v>
      </c>
      <c r="E470" cm="1">
        <f t="array" aca="1" ref="E470" ca="1">INDIRECT(ADDRESS(myRAND(1,E$2,E$8:E$9)+5,E$1))</f>
        <v>1</v>
      </c>
      <c r="F470" cm="1">
        <f t="array" aca="1" ref="F470" ca="1">INDIRECT(ADDRESS(myRAND(1,F$2,F$8:F$9)+5,F$1))</f>
        <v>1</v>
      </c>
      <c r="G470" cm="1">
        <f t="array" aca="1" ref="G470" ca="1">INDIRECT(ADDRESS(myRAND(1,G$2,G$8:G$9)+5,G$1))</f>
        <v>1</v>
      </c>
      <c r="H470" cm="1">
        <f t="array" aca="1" ref="H470" ca="1">INDIRECT(ADDRESS(myRAND(1,H$2,H$8:H$9)+5,H$1))</f>
        <v>0</v>
      </c>
      <c r="I470" cm="1">
        <f t="array" aca="1" ref="I470" ca="1">INDIRECT(ADDRESS(myRAND(1,I$2,I$8:I$9)+5,I$1))</f>
        <v>1</v>
      </c>
      <c r="J470">
        <f t="shared" ca="1" si="77"/>
        <v>10</v>
      </c>
      <c r="K470">
        <f t="shared" ca="1" si="77"/>
        <v>233</v>
      </c>
      <c r="L470" s="3">
        <f t="shared" ca="1" si="79"/>
        <v>3</v>
      </c>
      <c r="M470" s="13">
        <f t="shared" ca="1" si="80"/>
        <v>0.3941263315682394</v>
      </c>
      <c r="N470">
        <f t="shared" ca="1" si="81"/>
        <v>-0.43000000000000016</v>
      </c>
      <c r="O470">
        <f t="shared" ca="1" si="82"/>
        <v>0</v>
      </c>
      <c r="P470">
        <f t="shared" ca="1" si="83"/>
        <v>1</v>
      </c>
      <c r="Q470">
        <f t="shared" ca="1" si="84"/>
        <v>0</v>
      </c>
      <c r="R470">
        <f t="shared" ca="1" si="85"/>
        <v>0</v>
      </c>
      <c r="S470">
        <f t="shared" ca="1" si="86"/>
        <v>2</v>
      </c>
      <c r="T470" s="17">
        <f t="shared" ca="1" si="87"/>
        <v>4.6099999999999994</v>
      </c>
    </row>
    <row r="471" spans="2:20" x14ac:dyDescent="0.3">
      <c r="B471">
        <f t="shared" ca="1" si="78"/>
        <v>56</v>
      </c>
      <c r="C471" cm="1">
        <f t="array" aca="1" ref="C471" ca="1">INDIRECT(ADDRESS(myRAND(1,C$2,C$8:C$9)+5,C$1))</f>
        <v>1</v>
      </c>
      <c r="D471" cm="1">
        <f t="array" aca="1" ref="D471" ca="1">INDIRECT(ADDRESS(myRAND(1,D$2,D$8:D$9)+5,D$1))</f>
        <v>0</v>
      </c>
      <c r="E471" cm="1">
        <f t="array" aca="1" ref="E471" ca="1">INDIRECT(ADDRESS(myRAND(1,E$2,E$8:E$9)+5,E$1))</f>
        <v>1</v>
      </c>
      <c r="F471" cm="1">
        <f t="array" aca="1" ref="F471" ca="1">INDIRECT(ADDRESS(myRAND(1,F$2,F$8:F$9)+5,F$1))</f>
        <v>0</v>
      </c>
      <c r="G471" cm="1">
        <f t="array" aca="1" ref="G471" ca="1">INDIRECT(ADDRESS(myRAND(1,G$2,G$8:G$9)+5,G$1))</f>
        <v>1</v>
      </c>
      <c r="H471" cm="1">
        <f t="array" aca="1" ref="H471" ca="1">INDIRECT(ADDRESS(myRAND(1,H$2,H$8:H$9)+5,H$1))</f>
        <v>0</v>
      </c>
      <c r="I471" cm="1">
        <f t="array" aca="1" ref="I471" ca="1">INDIRECT(ADDRESS(myRAND(1,I$2,I$8:I$9)+5,I$1))</f>
        <v>1</v>
      </c>
      <c r="J471">
        <f t="shared" ca="1" si="77"/>
        <v>16</v>
      </c>
      <c r="K471">
        <f t="shared" ca="1" si="77"/>
        <v>252</v>
      </c>
      <c r="L471" s="3">
        <f t="shared" ca="1" si="79"/>
        <v>2</v>
      </c>
      <c r="M471" s="13">
        <f t="shared" ca="1" si="80"/>
        <v>0.31216866941715965</v>
      </c>
      <c r="N471">
        <f t="shared" ca="1" si="81"/>
        <v>-0.78999999999999981</v>
      </c>
      <c r="O471">
        <f t="shared" ca="1" si="82"/>
        <v>0</v>
      </c>
      <c r="P471">
        <f t="shared" ca="1" si="83"/>
        <v>0</v>
      </c>
      <c r="Q471">
        <f t="shared" ca="1" si="84"/>
        <v>1</v>
      </c>
      <c r="R471">
        <f t="shared" ca="1" si="85"/>
        <v>0</v>
      </c>
      <c r="S471">
        <f t="shared" ca="1" si="86"/>
        <v>2</v>
      </c>
      <c r="T471" s="17">
        <f t="shared" ca="1" si="87"/>
        <v>6.1504761904761907</v>
      </c>
    </row>
    <row r="472" spans="2:20" x14ac:dyDescent="0.3">
      <c r="B472">
        <f t="shared" ca="1" si="78"/>
        <v>53</v>
      </c>
      <c r="C472" cm="1">
        <f t="array" aca="1" ref="C472" ca="1">INDIRECT(ADDRESS(myRAND(1,C$2,C$8:C$9)+5,C$1))</f>
        <v>0</v>
      </c>
      <c r="D472" cm="1">
        <f t="array" aca="1" ref="D472" ca="1">INDIRECT(ADDRESS(myRAND(1,D$2,D$8:D$9)+5,D$1))</f>
        <v>1</v>
      </c>
      <c r="E472" cm="1">
        <f t="array" aca="1" ref="E472" ca="1">INDIRECT(ADDRESS(myRAND(1,E$2,E$8:E$9)+5,E$1))</f>
        <v>1</v>
      </c>
      <c r="F472" cm="1">
        <f t="array" aca="1" ref="F472" ca="1">INDIRECT(ADDRESS(myRAND(1,F$2,F$8:F$9)+5,F$1))</f>
        <v>0</v>
      </c>
      <c r="G472" cm="1">
        <f t="array" aca="1" ref="G472" ca="1">INDIRECT(ADDRESS(myRAND(1,G$2,G$8:G$9)+5,G$1))</f>
        <v>0</v>
      </c>
      <c r="H472" cm="1">
        <f t="array" aca="1" ref="H472" ca="1">INDIRECT(ADDRESS(myRAND(1,H$2,H$8:H$9)+5,H$1))</f>
        <v>1</v>
      </c>
      <c r="I472" cm="1">
        <f t="array" aca="1" ref="I472" ca="1">INDIRECT(ADDRESS(myRAND(1,I$2,I$8:I$9)+5,I$1))</f>
        <v>0</v>
      </c>
      <c r="J472">
        <f t="shared" ca="1" si="77"/>
        <v>20</v>
      </c>
      <c r="K472">
        <f t="shared" ca="1" si="77"/>
        <v>207</v>
      </c>
      <c r="L472" s="3">
        <f t="shared" ca="1" si="79"/>
        <v>3</v>
      </c>
      <c r="M472" s="13">
        <f t="shared" ca="1" si="80"/>
        <v>0.41338242108266998</v>
      </c>
      <c r="N472">
        <f t="shared" ca="1" si="81"/>
        <v>-0.35000000000000009</v>
      </c>
      <c r="O472">
        <f t="shared" ca="1" si="82"/>
        <v>0</v>
      </c>
      <c r="P472">
        <f t="shared" ca="1" si="83"/>
        <v>1</v>
      </c>
      <c r="Q472">
        <f t="shared" ca="1" si="84"/>
        <v>0</v>
      </c>
      <c r="R472">
        <f t="shared" ca="1" si="85"/>
        <v>0</v>
      </c>
      <c r="S472">
        <f t="shared" ca="1" si="86"/>
        <v>1</v>
      </c>
      <c r="T472" s="17">
        <f t="shared" ca="1" si="87"/>
        <v>2.1728571428571426</v>
      </c>
    </row>
    <row r="473" spans="2:20" x14ac:dyDescent="0.3">
      <c r="B473">
        <f t="shared" ca="1" si="78"/>
        <v>69</v>
      </c>
      <c r="C473" cm="1">
        <f t="array" aca="1" ref="C473" ca="1">INDIRECT(ADDRESS(myRAND(1,C$2,C$8:C$9)+5,C$1))</f>
        <v>0</v>
      </c>
      <c r="D473" cm="1">
        <f t="array" aca="1" ref="D473" ca="1">INDIRECT(ADDRESS(myRAND(1,D$2,D$8:D$9)+5,D$1))</f>
        <v>1</v>
      </c>
      <c r="E473" cm="1">
        <f t="array" aca="1" ref="E473" ca="1">INDIRECT(ADDRESS(myRAND(1,E$2,E$8:E$9)+5,E$1))</f>
        <v>1</v>
      </c>
      <c r="F473" cm="1">
        <f t="array" aca="1" ref="F473" ca="1">INDIRECT(ADDRESS(myRAND(1,F$2,F$8:F$9)+5,F$1))</f>
        <v>0</v>
      </c>
      <c r="G473" cm="1">
        <f t="array" aca="1" ref="G473" ca="1">INDIRECT(ADDRESS(myRAND(1,G$2,G$8:G$9)+5,G$1))</f>
        <v>1</v>
      </c>
      <c r="H473" cm="1">
        <f t="array" aca="1" ref="H473" ca="1">INDIRECT(ADDRESS(myRAND(1,H$2,H$8:H$9)+5,H$1))</f>
        <v>1</v>
      </c>
      <c r="I473" cm="1">
        <f t="array" aca="1" ref="I473" ca="1">INDIRECT(ADDRESS(myRAND(1,I$2,I$8:I$9)+5,I$1))</f>
        <v>1</v>
      </c>
      <c r="J473">
        <f t="shared" ca="1" si="77"/>
        <v>14</v>
      </c>
      <c r="K473">
        <f t="shared" ca="1" si="77"/>
        <v>227</v>
      </c>
      <c r="L473" s="3">
        <f t="shared" ca="1" si="79"/>
        <v>2</v>
      </c>
      <c r="M473" s="13">
        <f t="shared" ca="1" si="80"/>
        <v>0.57199613293151863</v>
      </c>
      <c r="N473">
        <f t="shared" ca="1" si="81"/>
        <v>0.29000000000000004</v>
      </c>
      <c r="O473">
        <f t="shared" ca="1" si="82"/>
        <v>0</v>
      </c>
      <c r="P473">
        <f t="shared" ca="1" si="83"/>
        <v>1</v>
      </c>
      <c r="Q473">
        <f t="shared" ca="1" si="84"/>
        <v>0</v>
      </c>
      <c r="R473">
        <f t="shared" ca="1" si="85"/>
        <v>0</v>
      </c>
      <c r="S473">
        <f t="shared" ca="1" si="86"/>
        <v>3</v>
      </c>
      <c r="T473" s="17">
        <f t="shared" ca="1" si="87"/>
        <v>5.0280952380952382</v>
      </c>
    </row>
    <row r="474" spans="2:20" x14ac:dyDescent="0.3">
      <c r="B474">
        <f t="shared" ca="1" si="78"/>
        <v>45</v>
      </c>
      <c r="C474" cm="1">
        <f t="array" aca="1" ref="C474" ca="1">INDIRECT(ADDRESS(myRAND(1,C$2,C$8:C$9)+5,C$1))</f>
        <v>0</v>
      </c>
      <c r="D474" cm="1">
        <f t="array" aca="1" ref="D474" ca="1">INDIRECT(ADDRESS(myRAND(1,D$2,D$8:D$9)+5,D$1))</f>
        <v>1</v>
      </c>
      <c r="E474" cm="1">
        <f t="array" aca="1" ref="E474" ca="1">INDIRECT(ADDRESS(myRAND(1,E$2,E$8:E$9)+5,E$1))</f>
        <v>0</v>
      </c>
      <c r="F474" cm="1">
        <f t="array" aca="1" ref="F474" ca="1">INDIRECT(ADDRESS(myRAND(1,F$2,F$8:F$9)+5,F$1))</f>
        <v>0</v>
      </c>
      <c r="G474" cm="1">
        <f t="array" aca="1" ref="G474" ca="1">INDIRECT(ADDRESS(myRAND(1,G$2,G$8:G$9)+5,G$1))</f>
        <v>0</v>
      </c>
      <c r="H474" cm="1">
        <f t="array" aca="1" ref="H474" ca="1">INDIRECT(ADDRESS(myRAND(1,H$2,H$8:H$9)+5,H$1))</f>
        <v>0</v>
      </c>
      <c r="I474" cm="1">
        <f t="array" aca="1" ref="I474" ca="1">INDIRECT(ADDRESS(myRAND(1,I$2,I$8:I$9)+5,I$1))</f>
        <v>0</v>
      </c>
      <c r="J474">
        <f t="shared" ca="1" si="77"/>
        <v>14</v>
      </c>
      <c r="K474">
        <f t="shared" ca="1" si="77"/>
        <v>225</v>
      </c>
      <c r="L474" s="3">
        <f t="shared" ca="1" si="79"/>
        <v>1</v>
      </c>
      <c r="M474" s="13">
        <f t="shared" ca="1" si="80"/>
        <v>7.1094304084287144E-2</v>
      </c>
      <c r="N474">
        <f t="shared" ca="1" si="81"/>
        <v>-2.5700000000000003</v>
      </c>
      <c r="O474">
        <f t="shared" ca="1" si="82"/>
        <v>0</v>
      </c>
      <c r="P474">
        <f t="shared" ca="1" si="83"/>
        <v>0</v>
      </c>
      <c r="Q474">
        <f t="shared" ca="1" si="84"/>
        <v>1</v>
      </c>
      <c r="R474">
        <f t="shared" ca="1" si="85"/>
        <v>0</v>
      </c>
      <c r="S474">
        <f t="shared" ca="1" si="86"/>
        <v>0</v>
      </c>
      <c r="T474" s="17">
        <f t="shared" ca="1" si="87"/>
        <v>1.7785714285714285</v>
      </c>
    </row>
    <row r="475" spans="2:20" x14ac:dyDescent="0.3">
      <c r="B475">
        <f t="shared" ca="1" si="78"/>
        <v>53</v>
      </c>
      <c r="C475" cm="1">
        <f t="array" aca="1" ref="C475" ca="1">INDIRECT(ADDRESS(myRAND(1,C$2,C$8:C$9)+5,C$1))</f>
        <v>0</v>
      </c>
      <c r="D475" cm="1">
        <f t="array" aca="1" ref="D475" ca="1">INDIRECT(ADDRESS(myRAND(1,D$2,D$8:D$9)+5,D$1))</f>
        <v>1</v>
      </c>
      <c r="E475" cm="1">
        <f t="array" aca="1" ref="E475" ca="1">INDIRECT(ADDRESS(myRAND(1,E$2,E$8:E$9)+5,E$1))</f>
        <v>1</v>
      </c>
      <c r="F475" cm="1">
        <f t="array" aca="1" ref="F475" ca="1">INDIRECT(ADDRESS(myRAND(1,F$2,F$8:F$9)+5,F$1))</f>
        <v>0</v>
      </c>
      <c r="G475" cm="1">
        <f t="array" aca="1" ref="G475" ca="1">INDIRECT(ADDRESS(myRAND(1,G$2,G$8:G$9)+5,G$1))</f>
        <v>0</v>
      </c>
      <c r="H475" cm="1">
        <f t="array" aca="1" ref="H475" ca="1">INDIRECT(ADDRESS(myRAND(1,H$2,H$8:H$9)+5,H$1))</f>
        <v>1</v>
      </c>
      <c r="I475" cm="1">
        <f t="array" aca="1" ref="I475" ca="1">INDIRECT(ADDRESS(myRAND(1,I$2,I$8:I$9)+5,I$1))</f>
        <v>0</v>
      </c>
      <c r="J475">
        <f t="shared" ca="1" si="77"/>
        <v>17</v>
      </c>
      <c r="K475">
        <f t="shared" ca="1" si="77"/>
        <v>203</v>
      </c>
      <c r="L475" s="3">
        <f t="shared" ca="1" si="79"/>
        <v>3</v>
      </c>
      <c r="M475" s="13">
        <f t="shared" ca="1" si="80"/>
        <v>0.41338242108266998</v>
      </c>
      <c r="N475">
        <f t="shared" ca="1" si="81"/>
        <v>-0.35000000000000009</v>
      </c>
      <c r="O475">
        <f t="shared" ca="1" si="82"/>
        <v>0</v>
      </c>
      <c r="P475">
        <f t="shared" ca="1" si="83"/>
        <v>1</v>
      </c>
      <c r="Q475">
        <f t="shared" ca="1" si="84"/>
        <v>0</v>
      </c>
      <c r="R475">
        <f t="shared" ca="1" si="85"/>
        <v>0</v>
      </c>
      <c r="S475">
        <f t="shared" ca="1" si="86"/>
        <v>1</v>
      </c>
      <c r="T475" s="17">
        <f t="shared" ca="1" si="87"/>
        <v>1.9538095238095239</v>
      </c>
    </row>
    <row r="476" spans="2:20" x14ac:dyDescent="0.3">
      <c r="B476">
        <f t="shared" ca="1" si="78"/>
        <v>52</v>
      </c>
      <c r="C476" cm="1">
        <f t="array" aca="1" ref="C476" ca="1">INDIRECT(ADDRESS(myRAND(1,C$2,C$8:C$9)+5,C$1))</f>
        <v>0</v>
      </c>
      <c r="D476" cm="1">
        <f t="array" aca="1" ref="D476" ca="1">INDIRECT(ADDRESS(myRAND(1,D$2,D$8:D$9)+5,D$1))</f>
        <v>0</v>
      </c>
      <c r="E476" cm="1">
        <f t="array" aca="1" ref="E476" ca="1">INDIRECT(ADDRESS(myRAND(1,E$2,E$8:E$9)+5,E$1))</f>
        <v>1</v>
      </c>
      <c r="F476" cm="1">
        <f t="array" aca="1" ref="F476" ca="1">INDIRECT(ADDRESS(myRAND(1,F$2,F$8:F$9)+5,F$1))</f>
        <v>1</v>
      </c>
      <c r="G476" cm="1">
        <f t="array" aca="1" ref="G476" ca="1">INDIRECT(ADDRESS(myRAND(1,G$2,G$8:G$9)+5,G$1))</f>
        <v>0</v>
      </c>
      <c r="H476" cm="1">
        <f t="array" aca="1" ref="H476" ca="1">INDIRECT(ADDRESS(myRAND(1,H$2,H$8:H$9)+5,H$1))</f>
        <v>0</v>
      </c>
      <c r="I476" cm="1">
        <f t="array" aca="1" ref="I476" ca="1">INDIRECT(ADDRESS(myRAND(1,I$2,I$8:I$9)+5,I$1))</f>
        <v>1</v>
      </c>
      <c r="J476">
        <f t="shared" ca="1" si="77"/>
        <v>10</v>
      </c>
      <c r="K476">
        <f t="shared" ca="1" si="77"/>
        <v>241</v>
      </c>
      <c r="L476" s="3">
        <f t="shared" ca="1" si="79"/>
        <v>2</v>
      </c>
      <c r="M476" s="13">
        <f t="shared" ca="1" si="80"/>
        <v>0.40371730070321216</v>
      </c>
      <c r="N476">
        <f t="shared" ca="1" si="81"/>
        <v>-0.39000000000000012</v>
      </c>
      <c r="O476">
        <f t="shared" ca="1" si="82"/>
        <v>0</v>
      </c>
      <c r="P476">
        <f t="shared" ca="1" si="83"/>
        <v>1</v>
      </c>
      <c r="Q476">
        <f t="shared" ca="1" si="84"/>
        <v>0</v>
      </c>
      <c r="R476">
        <f t="shared" ca="1" si="85"/>
        <v>0</v>
      </c>
      <c r="S476">
        <f t="shared" ca="1" si="86"/>
        <v>1</v>
      </c>
      <c r="T476" s="17">
        <f t="shared" ca="1" si="87"/>
        <v>4.6580952380952381</v>
      </c>
    </row>
    <row r="477" spans="2:20" x14ac:dyDescent="0.3">
      <c r="B477">
        <f t="shared" ca="1" si="78"/>
        <v>41</v>
      </c>
      <c r="C477" cm="1">
        <f t="array" aca="1" ref="C477" ca="1">INDIRECT(ADDRESS(myRAND(1,C$2,C$8:C$9)+5,C$1))</f>
        <v>1</v>
      </c>
      <c r="D477" cm="1">
        <f t="array" aca="1" ref="D477" ca="1">INDIRECT(ADDRESS(myRAND(1,D$2,D$8:D$9)+5,D$1))</f>
        <v>1</v>
      </c>
      <c r="E477" cm="1">
        <f t="array" aca="1" ref="E477" ca="1">INDIRECT(ADDRESS(myRAND(1,E$2,E$8:E$9)+5,E$1))</f>
        <v>0</v>
      </c>
      <c r="F477" cm="1">
        <f t="array" aca="1" ref="F477" ca="1">INDIRECT(ADDRESS(myRAND(1,F$2,F$8:F$9)+5,F$1))</f>
        <v>1</v>
      </c>
      <c r="G477" cm="1">
        <f t="array" aca="1" ref="G477" ca="1">INDIRECT(ADDRESS(myRAND(1,G$2,G$8:G$9)+5,G$1))</f>
        <v>0</v>
      </c>
      <c r="H477" cm="1">
        <f t="array" aca="1" ref="H477" ca="1">INDIRECT(ADDRESS(myRAND(1,H$2,H$8:H$9)+5,H$1))</f>
        <v>0</v>
      </c>
      <c r="I477" cm="1">
        <f t="array" aca="1" ref="I477" ca="1">INDIRECT(ADDRESS(myRAND(1,I$2,I$8:I$9)+5,I$1))</f>
        <v>0</v>
      </c>
      <c r="J477">
        <f t="shared" ca="1" si="77"/>
        <v>14</v>
      </c>
      <c r="K477">
        <f t="shared" ca="1" si="77"/>
        <v>198</v>
      </c>
      <c r="L477" s="3">
        <f t="shared" ca="1" si="79"/>
        <v>3</v>
      </c>
      <c r="M477" s="13">
        <f t="shared" ca="1" si="80"/>
        <v>0.6248064744684293</v>
      </c>
      <c r="N477">
        <f t="shared" ca="1" si="81"/>
        <v>0.51</v>
      </c>
      <c r="O477">
        <f t="shared" ca="1" si="82"/>
        <v>0</v>
      </c>
      <c r="P477">
        <f t="shared" ca="1" si="83"/>
        <v>1</v>
      </c>
      <c r="Q477">
        <f t="shared" ca="1" si="84"/>
        <v>0</v>
      </c>
      <c r="R477">
        <f t="shared" ca="1" si="85"/>
        <v>0</v>
      </c>
      <c r="S477">
        <f t="shared" ca="1" si="86"/>
        <v>0</v>
      </c>
      <c r="T477" s="17">
        <f t="shared" ca="1" si="87"/>
        <v>2.6100000000000003</v>
      </c>
    </row>
    <row r="478" spans="2:20" x14ac:dyDescent="0.3">
      <c r="B478">
        <f t="shared" ca="1" si="78"/>
        <v>35</v>
      </c>
      <c r="C478" cm="1">
        <f t="array" aca="1" ref="C478" ca="1">INDIRECT(ADDRESS(myRAND(1,C$2,C$8:C$9)+5,C$1))</f>
        <v>0</v>
      </c>
      <c r="D478" cm="1">
        <f t="array" aca="1" ref="D478" ca="1">INDIRECT(ADDRESS(myRAND(1,D$2,D$8:D$9)+5,D$1))</f>
        <v>1</v>
      </c>
      <c r="E478" cm="1">
        <f t="array" aca="1" ref="E478" ca="1">INDIRECT(ADDRESS(myRAND(1,E$2,E$8:E$9)+5,E$1))</f>
        <v>1</v>
      </c>
      <c r="F478" cm="1">
        <f t="array" aca="1" ref="F478" ca="1">INDIRECT(ADDRESS(myRAND(1,F$2,F$8:F$9)+5,F$1))</f>
        <v>0</v>
      </c>
      <c r="G478" cm="1">
        <f t="array" aca="1" ref="G478" ca="1">INDIRECT(ADDRESS(myRAND(1,G$2,G$8:G$9)+5,G$1))</f>
        <v>1</v>
      </c>
      <c r="H478" cm="1">
        <f t="array" aca="1" ref="H478" ca="1">INDIRECT(ADDRESS(myRAND(1,H$2,H$8:H$9)+5,H$1))</f>
        <v>1</v>
      </c>
      <c r="I478" cm="1">
        <f t="array" aca="1" ref="I478" ca="1">INDIRECT(ADDRESS(myRAND(1,I$2,I$8:I$9)+5,I$1))</f>
        <v>0</v>
      </c>
      <c r="J478">
        <f t="shared" ca="1" si="77"/>
        <v>16</v>
      </c>
      <c r="K478">
        <f t="shared" ca="1" si="77"/>
        <v>217</v>
      </c>
      <c r="L478" s="3">
        <f t="shared" ca="1" si="79"/>
        <v>3</v>
      </c>
      <c r="M478" s="13">
        <f t="shared" ca="1" si="80"/>
        <v>0.25540308417252405</v>
      </c>
      <c r="N478">
        <f t="shared" ca="1" si="81"/>
        <v>-1.0699999999999998</v>
      </c>
      <c r="O478">
        <f t="shared" ca="1" si="82"/>
        <v>0</v>
      </c>
      <c r="P478">
        <f t="shared" ca="1" si="83"/>
        <v>1</v>
      </c>
      <c r="Q478">
        <f t="shared" ca="1" si="84"/>
        <v>0</v>
      </c>
      <c r="R478">
        <f t="shared" ca="1" si="85"/>
        <v>0</v>
      </c>
      <c r="S478">
        <f t="shared" ca="1" si="86"/>
        <v>2</v>
      </c>
      <c r="T478" s="17">
        <f t="shared" ca="1" si="87"/>
        <v>1.7738095238095237</v>
      </c>
    </row>
    <row r="479" spans="2:20" x14ac:dyDescent="0.3">
      <c r="B479">
        <f t="shared" ca="1" si="78"/>
        <v>49</v>
      </c>
      <c r="C479" cm="1">
        <f t="array" aca="1" ref="C479" ca="1">INDIRECT(ADDRESS(myRAND(1,C$2,C$8:C$9)+5,C$1))</f>
        <v>0</v>
      </c>
      <c r="D479" cm="1">
        <f t="array" aca="1" ref="D479" ca="1">INDIRECT(ADDRESS(myRAND(1,D$2,D$8:D$9)+5,D$1))</f>
        <v>1</v>
      </c>
      <c r="E479" cm="1">
        <f t="array" aca="1" ref="E479" ca="1">INDIRECT(ADDRESS(myRAND(1,E$2,E$8:E$9)+5,E$1))</f>
        <v>1</v>
      </c>
      <c r="F479" cm="1">
        <f t="array" aca="1" ref="F479" ca="1">INDIRECT(ADDRESS(myRAND(1,F$2,F$8:F$9)+5,F$1))</f>
        <v>1</v>
      </c>
      <c r="G479" cm="1">
        <f t="array" aca="1" ref="G479" ca="1">INDIRECT(ADDRESS(myRAND(1,G$2,G$8:G$9)+5,G$1))</f>
        <v>0</v>
      </c>
      <c r="H479" cm="1">
        <f t="array" aca="1" ref="H479" ca="1">INDIRECT(ADDRESS(myRAND(1,H$2,H$8:H$9)+5,H$1))</f>
        <v>0</v>
      </c>
      <c r="I479" cm="1">
        <f t="array" aca="1" ref="I479" ca="1">INDIRECT(ADDRESS(myRAND(1,I$2,I$8:I$9)+5,I$1))</f>
        <v>0</v>
      </c>
      <c r="J479">
        <f t="shared" ca="1" si="77"/>
        <v>13</v>
      </c>
      <c r="K479">
        <f t="shared" ca="1" si="77"/>
        <v>241</v>
      </c>
      <c r="L479" s="3">
        <f t="shared" ca="1" si="79"/>
        <v>1</v>
      </c>
      <c r="M479" s="13">
        <f t="shared" ca="1" si="80"/>
        <v>0.14554232893696525</v>
      </c>
      <c r="N479">
        <f t="shared" ca="1" si="81"/>
        <v>-1.77</v>
      </c>
      <c r="O479">
        <f t="shared" ca="1" si="82"/>
        <v>1</v>
      </c>
      <c r="P479">
        <f t="shared" ca="1" si="83"/>
        <v>0</v>
      </c>
      <c r="Q479">
        <f t="shared" ca="1" si="84"/>
        <v>0</v>
      </c>
      <c r="R479">
        <f t="shared" ca="1" si="85"/>
        <v>0</v>
      </c>
      <c r="S479">
        <f t="shared" ca="1" si="86"/>
        <v>0</v>
      </c>
      <c r="T479" s="17">
        <f t="shared" ca="1" si="87"/>
        <v>1.828095238095238</v>
      </c>
    </row>
    <row r="480" spans="2:20" x14ac:dyDescent="0.3">
      <c r="B480">
        <f t="shared" ca="1" si="78"/>
        <v>59</v>
      </c>
      <c r="C480" cm="1">
        <f t="array" aca="1" ref="C480" ca="1">INDIRECT(ADDRESS(myRAND(1,C$2,C$8:C$9)+5,C$1))</f>
        <v>0</v>
      </c>
      <c r="D480" cm="1">
        <f t="array" aca="1" ref="D480" ca="1">INDIRECT(ADDRESS(myRAND(1,D$2,D$8:D$9)+5,D$1))</f>
        <v>1</v>
      </c>
      <c r="E480" cm="1">
        <f t="array" aca="1" ref="E480" ca="1">INDIRECT(ADDRESS(myRAND(1,E$2,E$8:E$9)+5,E$1))</f>
        <v>1</v>
      </c>
      <c r="F480" cm="1">
        <f t="array" aca="1" ref="F480" ca="1">INDIRECT(ADDRESS(myRAND(1,F$2,F$8:F$9)+5,F$1))</f>
        <v>1</v>
      </c>
      <c r="G480" cm="1">
        <f t="array" aca="1" ref="G480" ca="1">INDIRECT(ADDRESS(myRAND(1,G$2,G$8:G$9)+5,G$1))</f>
        <v>1</v>
      </c>
      <c r="H480" cm="1">
        <f t="array" aca="1" ref="H480" ca="1">INDIRECT(ADDRESS(myRAND(1,H$2,H$8:H$9)+5,H$1))</f>
        <v>0</v>
      </c>
      <c r="I480" cm="1">
        <f t="array" aca="1" ref="I480" ca="1">INDIRECT(ADDRESS(myRAND(1,I$2,I$8:I$9)+5,I$1))</f>
        <v>1</v>
      </c>
      <c r="J480">
        <f t="shared" ca="1" si="77"/>
        <v>16</v>
      </c>
      <c r="K480">
        <f t="shared" ca="1" si="77"/>
        <v>205</v>
      </c>
      <c r="L480" s="3">
        <f t="shared" ca="1" si="79"/>
        <v>2</v>
      </c>
      <c r="M480" s="13">
        <f t="shared" ca="1" si="80"/>
        <v>0.2026198464311304</v>
      </c>
      <c r="N480">
        <f t="shared" ca="1" si="81"/>
        <v>-1.37</v>
      </c>
      <c r="O480">
        <f t="shared" ca="1" si="82"/>
        <v>1</v>
      </c>
      <c r="P480">
        <f t="shared" ca="1" si="83"/>
        <v>0</v>
      </c>
      <c r="Q480">
        <f t="shared" ca="1" si="84"/>
        <v>0</v>
      </c>
      <c r="R480">
        <f t="shared" ca="1" si="85"/>
        <v>0</v>
      </c>
      <c r="S480">
        <f t="shared" ca="1" si="86"/>
        <v>2</v>
      </c>
      <c r="T480" s="17">
        <f t="shared" ca="1" si="87"/>
        <v>4.956666666666667</v>
      </c>
    </row>
    <row r="481" spans="2:20" x14ac:dyDescent="0.3">
      <c r="B481">
        <f t="shared" ca="1" si="78"/>
        <v>34</v>
      </c>
      <c r="C481" cm="1">
        <f t="array" aca="1" ref="C481" ca="1">INDIRECT(ADDRESS(myRAND(1,C$2,C$8:C$9)+5,C$1))</f>
        <v>1</v>
      </c>
      <c r="D481" cm="1">
        <f t="array" aca="1" ref="D481" ca="1">INDIRECT(ADDRESS(myRAND(1,D$2,D$8:D$9)+5,D$1))</f>
        <v>1</v>
      </c>
      <c r="E481" cm="1">
        <f t="array" aca="1" ref="E481" ca="1">INDIRECT(ADDRESS(myRAND(1,E$2,E$8:E$9)+5,E$1))</f>
        <v>1</v>
      </c>
      <c r="F481" cm="1">
        <f t="array" aca="1" ref="F481" ca="1">INDIRECT(ADDRESS(myRAND(1,F$2,F$8:F$9)+5,F$1))</f>
        <v>0</v>
      </c>
      <c r="G481" cm="1">
        <f t="array" aca="1" ref="G481" ca="1">INDIRECT(ADDRESS(myRAND(1,G$2,G$8:G$9)+5,G$1))</f>
        <v>0</v>
      </c>
      <c r="H481" cm="1">
        <f t="array" aca="1" ref="H481" ca="1">INDIRECT(ADDRESS(myRAND(1,H$2,H$8:H$9)+5,H$1))</f>
        <v>0</v>
      </c>
      <c r="I481" cm="1">
        <f t="array" aca="1" ref="I481" ca="1">INDIRECT(ADDRESS(myRAND(1,I$2,I$8:I$9)+5,I$1))</f>
        <v>0</v>
      </c>
      <c r="J481">
        <f t="shared" ca="1" si="77"/>
        <v>14</v>
      </c>
      <c r="K481">
        <f t="shared" ca="1" si="77"/>
        <v>178</v>
      </c>
      <c r="L481" s="3">
        <f t="shared" ca="1" si="79"/>
        <v>2</v>
      </c>
      <c r="M481" s="13">
        <f t="shared" ca="1" si="80"/>
        <v>0.55724785459855564</v>
      </c>
      <c r="N481">
        <f t="shared" ca="1" si="81"/>
        <v>0.2300000000000002</v>
      </c>
      <c r="O481">
        <f t="shared" ca="1" si="82"/>
        <v>0</v>
      </c>
      <c r="P481">
        <f t="shared" ca="1" si="83"/>
        <v>1</v>
      </c>
      <c r="Q481">
        <f t="shared" ca="1" si="84"/>
        <v>0</v>
      </c>
      <c r="R481">
        <f t="shared" ca="1" si="85"/>
        <v>0</v>
      </c>
      <c r="S481">
        <f t="shared" ca="1" si="86"/>
        <v>0</v>
      </c>
      <c r="T481" s="17">
        <f t="shared" ca="1" si="87"/>
        <v>2.4447619047619051</v>
      </c>
    </row>
    <row r="482" spans="2:20" x14ac:dyDescent="0.3">
      <c r="B482">
        <f t="shared" ca="1" si="78"/>
        <v>55</v>
      </c>
      <c r="C482" cm="1">
        <f t="array" aca="1" ref="C482" ca="1">INDIRECT(ADDRESS(myRAND(1,C$2,C$8:C$9)+5,C$1))</f>
        <v>1</v>
      </c>
      <c r="D482" cm="1">
        <f t="array" aca="1" ref="D482" ca="1">INDIRECT(ADDRESS(myRAND(1,D$2,D$8:D$9)+5,D$1))</f>
        <v>1</v>
      </c>
      <c r="E482" cm="1">
        <f t="array" aca="1" ref="E482" ca="1">INDIRECT(ADDRESS(myRAND(1,E$2,E$8:E$9)+5,E$1))</f>
        <v>1</v>
      </c>
      <c r="F482" cm="1">
        <f t="array" aca="1" ref="F482" ca="1">INDIRECT(ADDRESS(myRAND(1,F$2,F$8:F$9)+5,F$1))</f>
        <v>0</v>
      </c>
      <c r="G482" cm="1">
        <f t="array" aca="1" ref="G482" ca="1">INDIRECT(ADDRESS(myRAND(1,G$2,G$8:G$9)+5,G$1))</f>
        <v>0</v>
      </c>
      <c r="H482" cm="1">
        <f t="array" aca="1" ref="H482" ca="1">INDIRECT(ADDRESS(myRAND(1,H$2,H$8:H$9)+5,H$1))</f>
        <v>0</v>
      </c>
      <c r="I482" cm="1">
        <f t="array" aca="1" ref="I482" ca="1">INDIRECT(ADDRESS(myRAND(1,I$2,I$8:I$9)+5,I$1))</f>
        <v>1</v>
      </c>
      <c r="J482">
        <f t="shared" ca="1" si="77"/>
        <v>9</v>
      </c>
      <c r="K482">
        <f t="shared" ca="1" si="77"/>
        <v>244</v>
      </c>
      <c r="L482" s="3">
        <f t="shared" ca="1" si="79"/>
        <v>3</v>
      </c>
      <c r="M482" s="13">
        <f t="shared" ca="1" si="80"/>
        <v>0.74459691582747589</v>
      </c>
      <c r="N482">
        <f t="shared" ca="1" si="81"/>
        <v>1.07</v>
      </c>
      <c r="O482">
        <f t="shared" ca="1" si="82"/>
        <v>0</v>
      </c>
      <c r="P482">
        <f t="shared" ca="1" si="83"/>
        <v>1</v>
      </c>
      <c r="Q482">
        <f t="shared" ca="1" si="84"/>
        <v>0</v>
      </c>
      <c r="R482">
        <f t="shared" ca="1" si="85"/>
        <v>0</v>
      </c>
      <c r="S482">
        <f t="shared" ca="1" si="86"/>
        <v>1</v>
      </c>
      <c r="T482" s="17">
        <f t="shared" ca="1" si="87"/>
        <v>5.6357142857142861</v>
      </c>
    </row>
    <row r="483" spans="2:20" x14ac:dyDescent="0.3">
      <c r="B483">
        <f t="shared" ca="1" si="78"/>
        <v>67</v>
      </c>
      <c r="C483" cm="1">
        <f t="array" aca="1" ref="C483" ca="1">INDIRECT(ADDRESS(myRAND(1,C$2,C$8:C$9)+5,C$1))</f>
        <v>0</v>
      </c>
      <c r="D483" cm="1">
        <f t="array" aca="1" ref="D483" ca="1">INDIRECT(ADDRESS(myRAND(1,D$2,D$8:D$9)+5,D$1))</f>
        <v>0</v>
      </c>
      <c r="E483" cm="1">
        <f t="array" aca="1" ref="E483" ca="1">INDIRECT(ADDRESS(myRAND(1,E$2,E$8:E$9)+5,E$1))</f>
        <v>0</v>
      </c>
      <c r="F483" cm="1">
        <f t="array" aca="1" ref="F483" ca="1">INDIRECT(ADDRESS(myRAND(1,F$2,F$8:F$9)+5,F$1))</f>
        <v>0</v>
      </c>
      <c r="G483" cm="1">
        <f t="array" aca="1" ref="G483" ca="1">INDIRECT(ADDRESS(myRAND(1,G$2,G$8:G$9)+5,G$1))</f>
        <v>1</v>
      </c>
      <c r="H483" cm="1">
        <f t="array" aca="1" ref="H483" ca="1">INDIRECT(ADDRESS(myRAND(1,H$2,H$8:H$9)+5,H$1))</f>
        <v>1</v>
      </c>
      <c r="I483" cm="1">
        <f t="array" aca="1" ref="I483" ca="1">INDIRECT(ADDRESS(myRAND(1,I$2,I$8:I$9)+5,I$1))</f>
        <v>0</v>
      </c>
      <c r="J483">
        <f t="shared" ca="1" si="77"/>
        <v>11</v>
      </c>
      <c r="K483">
        <f t="shared" ca="1" si="77"/>
        <v>213</v>
      </c>
      <c r="L483" s="3">
        <f t="shared" ca="1" si="79"/>
        <v>3</v>
      </c>
      <c r="M483" s="13">
        <f t="shared" ca="1" si="80"/>
        <v>0.1557758401237474</v>
      </c>
      <c r="N483">
        <f t="shared" ca="1" si="81"/>
        <v>-1.69</v>
      </c>
      <c r="O483">
        <f t="shared" ca="1" si="82"/>
        <v>0</v>
      </c>
      <c r="P483">
        <f t="shared" ca="1" si="83"/>
        <v>0</v>
      </c>
      <c r="Q483">
        <f t="shared" ca="1" si="84"/>
        <v>0</v>
      </c>
      <c r="R483">
        <f t="shared" ca="1" si="85"/>
        <v>0</v>
      </c>
      <c r="S483">
        <f t="shared" ca="1" si="86"/>
        <v>2</v>
      </c>
      <c r="T483" s="17">
        <f t="shared" ca="1" si="87"/>
        <v>1.7414285714285715</v>
      </c>
    </row>
    <row r="484" spans="2:20" x14ac:dyDescent="0.3">
      <c r="B484">
        <f t="shared" ca="1" si="78"/>
        <v>55</v>
      </c>
      <c r="C484" cm="1">
        <f t="array" aca="1" ref="C484" ca="1">INDIRECT(ADDRESS(myRAND(1,C$2,C$8:C$9)+5,C$1))</f>
        <v>1</v>
      </c>
      <c r="D484" cm="1">
        <f t="array" aca="1" ref="D484" ca="1">INDIRECT(ADDRESS(myRAND(1,D$2,D$8:D$9)+5,D$1))</f>
        <v>1</v>
      </c>
      <c r="E484" cm="1">
        <f t="array" aca="1" ref="E484" ca="1">INDIRECT(ADDRESS(myRAND(1,E$2,E$8:E$9)+5,E$1))</f>
        <v>0</v>
      </c>
      <c r="F484" cm="1">
        <f t="array" aca="1" ref="F484" ca="1">INDIRECT(ADDRESS(myRAND(1,F$2,F$8:F$9)+5,F$1))</f>
        <v>1</v>
      </c>
      <c r="G484" cm="1">
        <f t="array" aca="1" ref="G484" ca="1">INDIRECT(ADDRESS(myRAND(1,G$2,G$8:G$9)+5,G$1))</f>
        <v>0</v>
      </c>
      <c r="H484" cm="1">
        <f t="array" aca="1" ref="H484" ca="1">INDIRECT(ADDRESS(myRAND(1,H$2,H$8:H$9)+5,H$1))</f>
        <v>0</v>
      </c>
      <c r="I484" cm="1">
        <f t="array" aca="1" ref="I484" ca="1">INDIRECT(ADDRESS(myRAND(1,I$2,I$8:I$9)+5,I$1))</f>
        <v>1</v>
      </c>
      <c r="J484">
        <f t="shared" ca="1" si="77"/>
        <v>15</v>
      </c>
      <c r="K484">
        <f t="shared" ca="1" si="77"/>
        <v>209</v>
      </c>
      <c r="L484" s="3">
        <f t="shared" ca="1" si="79"/>
        <v>3</v>
      </c>
      <c r="M484" s="13">
        <f t="shared" ca="1" si="80"/>
        <v>0.74459691582747589</v>
      </c>
      <c r="N484">
        <f t="shared" ca="1" si="81"/>
        <v>1.07</v>
      </c>
      <c r="O484">
        <f t="shared" ca="1" si="82"/>
        <v>0</v>
      </c>
      <c r="P484">
        <f t="shared" ca="1" si="83"/>
        <v>1</v>
      </c>
      <c r="Q484">
        <f t="shared" ca="1" si="84"/>
        <v>0</v>
      </c>
      <c r="R484">
        <f t="shared" ca="1" si="85"/>
        <v>0</v>
      </c>
      <c r="S484">
        <f t="shared" ca="1" si="86"/>
        <v>1</v>
      </c>
      <c r="T484" s="17">
        <f t="shared" ca="1" si="87"/>
        <v>5.8690476190476186</v>
      </c>
    </row>
    <row r="485" spans="2:20" x14ac:dyDescent="0.3">
      <c r="B485">
        <f t="shared" ca="1" si="78"/>
        <v>59</v>
      </c>
      <c r="C485" cm="1">
        <f t="array" aca="1" ref="C485" ca="1">INDIRECT(ADDRESS(myRAND(1,C$2,C$8:C$9)+5,C$1))</f>
        <v>0</v>
      </c>
      <c r="D485" cm="1">
        <f t="array" aca="1" ref="D485" ca="1">INDIRECT(ADDRESS(myRAND(1,D$2,D$8:D$9)+5,D$1))</f>
        <v>1</v>
      </c>
      <c r="E485" cm="1">
        <f t="array" aca="1" ref="E485" ca="1">INDIRECT(ADDRESS(myRAND(1,E$2,E$8:E$9)+5,E$1))</f>
        <v>0</v>
      </c>
      <c r="F485" cm="1">
        <f t="array" aca="1" ref="F485" ca="1">INDIRECT(ADDRESS(myRAND(1,F$2,F$8:F$9)+5,F$1))</f>
        <v>0</v>
      </c>
      <c r="G485" cm="1">
        <f t="array" aca="1" ref="G485" ca="1">INDIRECT(ADDRESS(myRAND(1,G$2,G$8:G$9)+5,G$1))</f>
        <v>0</v>
      </c>
      <c r="H485" cm="1">
        <f t="array" aca="1" ref="H485" ca="1">INDIRECT(ADDRESS(myRAND(1,H$2,H$8:H$9)+5,H$1))</f>
        <v>0</v>
      </c>
      <c r="I485" cm="1">
        <f t="array" aca="1" ref="I485" ca="1">INDIRECT(ADDRESS(myRAND(1,I$2,I$8:I$9)+5,I$1))</f>
        <v>1</v>
      </c>
      <c r="J485">
        <f t="shared" ca="1" si="77"/>
        <v>14</v>
      </c>
      <c r="K485">
        <f t="shared" ca="1" si="77"/>
        <v>212</v>
      </c>
      <c r="L485" s="3">
        <f t="shared" ca="1" si="79"/>
        <v>1</v>
      </c>
      <c r="M485" s="13">
        <f t="shared" ca="1" si="80"/>
        <v>0.11815697780926952</v>
      </c>
      <c r="N485">
        <f t="shared" ca="1" si="81"/>
        <v>-2.0100000000000002</v>
      </c>
      <c r="O485">
        <f t="shared" ca="1" si="82"/>
        <v>0</v>
      </c>
      <c r="P485">
        <f t="shared" ca="1" si="83"/>
        <v>0</v>
      </c>
      <c r="Q485">
        <f t="shared" ca="1" si="84"/>
        <v>1</v>
      </c>
      <c r="R485">
        <f t="shared" ca="1" si="85"/>
        <v>0</v>
      </c>
      <c r="S485">
        <f t="shared" ca="1" si="86"/>
        <v>1</v>
      </c>
      <c r="T485" s="17">
        <f t="shared" ca="1" si="87"/>
        <v>4.8566666666666665</v>
      </c>
    </row>
    <row r="486" spans="2:20" x14ac:dyDescent="0.3">
      <c r="B486">
        <f t="shared" ca="1" si="78"/>
        <v>54</v>
      </c>
      <c r="C486" cm="1">
        <f t="array" aca="1" ref="C486" ca="1">INDIRECT(ADDRESS(myRAND(1,C$2,C$8:C$9)+5,C$1))</f>
        <v>0</v>
      </c>
      <c r="D486" cm="1">
        <f t="array" aca="1" ref="D486" ca="1">INDIRECT(ADDRESS(myRAND(1,D$2,D$8:D$9)+5,D$1))</f>
        <v>1</v>
      </c>
      <c r="E486" cm="1">
        <f t="array" aca="1" ref="E486" ca="1">INDIRECT(ADDRESS(myRAND(1,E$2,E$8:E$9)+5,E$1))</f>
        <v>1</v>
      </c>
      <c r="F486" cm="1">
        <f t="array" aca="1" ref="F486" ca="1">INDIRECT(ADDRESS(myRAND(1,F$2,F$8:F$9)+5,F$1))</f>
        <v>0</v>
      </c>
      <c r="G486" cm="1">
        <f t="array" aca="1" ref="G486" ca="1">INDIRECT(ADDRESS(myRAND(1,G$2,G$8:G$9)+5,G$1))</f>
        <v>0</v>
      </c>
      <c r="H486" cm="1">
        <f t="array" aca="1" ref="H486" ca="1">INDIRECT(ADDRESS(myRAND(1,H$2,H$8:H$9)+5,H$1))</f>
        <v>0</v>
      </c>
      <c r="I486" cm="1">
        <f t="array" aca="1" ref="I486" ca="1">INDIRECT(ADDRESS(myRAND(1,I$2,I$8:I$9)+5,I$1))</f>
        <v>1</v>
      </c>
      <c r="J486">
        <f t="shared" ca="1" si="77"/>
        <v>14</v>
      </c>
      <c r="K486">
        <f t="shared" ca="1" si="77"/>
        <v>235</v>
      </c>
      <c r="L486" s="3">
        <f t="shared" ca="1" si="79"/>
        <v>2</v>
      </c>
      <c r="M486" s="13">
        <f t="shared" ca="1" si="80"/>
        <v>0.42311473886795364</v>
      </c>
      <c r="N486">
        <f t="shared" ca="1" si="81"/>
        <v>-0.31000000000000005</v>
      </c>
      <c r="O486">
        <f t="shared" ca="1" si="82"/>
        <v>0</v>
      </c>
      <c r="P486">
        <f t="shared" ca="1" si="83"/>
        <v>1</v>
      </c>
      <c r="Q486">
        <f t="shared" ca="1" si="84"/>
        <v>0</v>
      </c>
      <c r="R486">
        <f t="shared" ca="1" si="85"/>
        <v>0</v>
      </c>
      <c r="S486">
        <f t="shared" ca="1" si="86"/>
        <v>1</v>
      </c>
      <c r="T486" s="17">
        <f t="shared" ca="1" si="87"/>
        <v>4.9161904761904758</v>
      </c>
    </row>
    <row r="487" spans="2:20" x14ac:dyDescent="0.3">
      <c r="B487">
        <f t="shared" ca="1" si="78"/>
        <v>55</v>
      </c>
      <c r="C487" cm="1">
        <f t="array" aca="1" ref="C487" ca="1">INDIRECT(ADDRESS(myRAND(1,C$2,C$8:C$9)+5,C$1))</f>
        <v>0</v>
      </c>
      <c r="D487" cm="1">
        <f t="array" aca="1" ref="D487" ca="1">INDIRECT(ADDRESS(myRAND(1,D$2,D$8:D$9)+5,D$1))</f>
        <v>0</v>
      </c>
      <c r="E487" cm="1">
        <f t="array" aca="1" ref="E487" ca="1">INDIRECT(ADDRESS(myRAND(1,E$2,E$8:E$9)+5,E$1))</f>
        <v>0</v>
      </c>
      <c r="F487" cm="1">
        <f t="array" aca="1" ref="F487" ca="1">INDIRECT(ADDRESS(myRAND(1,F$2,F$8:F$9)+5,F$1))</f>
        <v>1</v>
      </c>
      <c r="G487" cm="1">
        <f t="array" aca="1" ref="G487" ca="1">INDIRECT(ADDRESS(myRAND(1,G$2,G$8:G$9)+5,G$1))</f>
        <v>0</v>
      </c>
      <c r="H487" cm="1">
        <f t="array" aca="1" ref="H487" ca="1">INDIRECT(ADDRESS(myRAND(1,H$2,H$8:H$9)+5,H$1))</f>
        <v>0</v>
      </c>
      <c r="I487" cm="1">
        <f t="array" aca="1" ref="I487" ca="1">INDIRECT(ADDRESS(myRAND(1,I$2,I$8:I$9)+5,I$1))</f>
        <v>1</v>
      </c>
      <c r="J487">
        <f t="shared" ca="1" si="77"/>
        <v>11</v>
      </c>
      <c r="K487">
        <f t="shared" ca="1" si="77"/>
        <v>180</v>
      </c>
      <c r="L487" s="3">
        <f t="shared" ca="1" si="79"/>
        <v>1</v>
      </c>
      <c r="M487" s="13">
        <f t="shared" ca="1" si="80"/>
        <v>0.10247703344409737</v>
      </c>
      <c r="N487">
        <f t="shared" ca="1" si="81"/>
        <v>-2.17</v>
      </c>
      <c r="O487">
        <f t="shared" ca="1" si="82"/>
        <v>0</v>
      </c>
      <c r="P487">
        <f t="shared" ca="1" si="83"/>
        <v>0</v>
      </c>
      <c r="Q487">
        <f t="shared" ca="1" si="84"/>
        <v>1</v>
      </c>
      <c r="R487">
        <f t="shared" ca="1" si="85"/>
        <v>0</v>
      </c>
      <c r="S487">
        <f t="shared" ca="1" si="86"/>
        <v>1</v>
      </c>
      <c r="T487" s="17">
        <f t="shared" ca="1" si="87"/>
        <v>4.4642857142857144</v>
      </c>
    </row>
    <row r="488" spans="2:20" x14ac:dyDescent="0.3">
      <c r="B488">
        <f t="shared" ca="1" si="78"/>
        <v>51</v>
      </c>
      <c r="C488" cm="1">
        <f t="array" aca="1" ref="C488" ca="1">INDIRECT(ADDRESS(myRAND(1,C$2,C$8:C$9)+5,C$1))</f>
        <v>0</v>
      </c>
      <c r="D488" cm="1">
        <f t="array" aca="1" ref="D488" ca="1">INDIRECT(ADDRESS(myRAND(1,D$2,D$8:D$9)+5,D$1))</f>
        <v>0</v>
      </c>
      <c r="E488" cm="1">
        <f t="array" aca="1" ref="E488" ca="1">INDIRECT(ADDRESS(myRAND(1,E$2,E$8:E$9)+5,E$1))</f>
        <v>1</v>
      </c>
      <c r="F488" cm="1">
        <f t="array" aca="1" ref="F488" ca="1">INDIRECT(ADDRESS(myRAND(1,F$2,F$8:F$9)+5,F$1))</f>
        <v>0</v>
      </c>
      <c r="G488" cm="1">
        <f t="array" aca="1" ref="G488" ca="1">INDIRECT(ADDRESS(myRAND(1,G$2,G$8:G$9)+5,G$1))</f>
        <v>0</v>
      </c>
      <c r="H488" cm="1">
        <f t="array" aca="1" ref="H488" ca="1">INDIRECT(ADDRESS(myRAND(1,H$2,H$8:H$9)+5,H$1))</f>
        <v>1</v>
      </c>
      <c r="I488" cm="1">
        <f t="array" aca="1" ref="I488" ca="1">INDIRECT(ADDRESS(myRAND(1,I$2,I$8:I$9)+5,I$1))</f>
        <v>0</v>
      </c>
      <c r="J488">
        <f t="shared" ca="1" si="77"/>
        <v>12</v>
      </c>
      <c r="K488">
        <f t="shared" ca="1" si="77"/>
        <v>233</v>
      </c>
      <c r="L488" s="3">
        <f t="shared" ca="1" si="79"/>
        <v>1</v>
      </c>
      <c r="M488" s="13">
        <f t="shared" ca="1" si="80"/>
        <v>8.8668663254733285E-2</v>
      </c>
      <c r="N488">
        <f t="shared" ca="1" si="81"/>
        <v>-2.33</v>
      </c>
      <c r="O488">
        <f t="shared" ca="1" si="82"/>
        <v>0</v>
      </c>
      <c r="P488">
        <f t="shared" ca="1" si="83"/>
        <v>0</v>
      </c>
      <c r="Q488">
        <f t="shared" ca="1" si="84"/>
        <v>1</v>
      </c>
      <c r="R488">
        <f t="shared" ca="1" si="85"/>
        <v>0</v>
      </c>
      <c r="S488">
        <f t="shared" ca="1" si="86"/>
        <v>1</v>
      </c>
      <c r="T488" s="17">
        <f t="shared" ca="1" si="87"/>
        <v>1.7433333333333334</v>
      </c>
    </row>
    <row r="489" spans="2:20" x14ac:dyDescent="0.3">
      <c r="B489">
        <f t="shared" ca="1" si="78"/>
        <v>56</v>
      </c>
      <c r="C489" cm="1">
        <f t="array" aca="1" ref="C489" ca="1">INDIRECT(ADDRESS(myRAND(1,C$2,C$8:C$9)+5,C$1))</f>
        <v>1</v>
      </c>
      <c r="D489" cm="1">
        <f t="array" aca="1" ref="D489" ca="1">INDIRECT(ADDRESS(myRAND(1,D$2,D$8:D$9)+5,D$1))</f>
        <v>0</v>
      </c>
      <c r="E489" cm="1">
        <f t="array" aca="1" ref="E489" ca="1">INDIRECT(ADDRESS(myRAND(1,E$2,E$8:E$9)+5,E$1))</f>
        <v>0</v>
      </c>
      <c r="F489" cm="1">
        <f t="array" aca="1" ref="F489" ca="1">INDIRECT(ADDRESS(myRAND(1,F$2,F$8:F$9)+5,F$1))</f>
        <v>1</v>
      </c>
      <c r="G489" cm="1">
        <f t="array" aca="1" ref="G489" ca="1">INDIRECT(ADDRESS(myRAND(1,G$2,G$8:G$9)+5,G$1))</f>
        <v>0</v>
      </c>
      <c r="H489" cm="1">
        <f t="array" aca="1" ref="H489" ca="1">INDIRECT(ADDRESS(myRAND(1,H$2,H$8:H$9)+5,H$1))</f>
        <v>0</v>
      </c>
      <c r="I489" cm="1">
        <f t="array" aca="1" ref="I489" ca="1">INDIRECT(ADDRESS(myRAND(1,I$2,I$8:I$9)+5,I$1))</f>
        <v>1</v>
      </c>
      <c r="J489">
        <f t="shared" ca="1" si="77"/>
        <v>16</v>
      </c>
      <c r="K489">
        <f t="shared" ca="1" si="77"/>
        <v>179</v>
      </c>
      <c r="L489" s="3">
        <f t="shared" ca="1" si="79"/>
        <v>3</v>
      </c>
      <c r="M489" s="13">
        <f t="shared" ca="1" si="80"/>
        <v>0.31216866941715965</v>
      </c>
      <c r="N489">
        <f t="shared" ca="1" si="81"/>
        <v>-0.78999999999999981</v>
      </c>
      <c r="O489">
        <f t="shared" ca="1" si="82"/>
        <v>0</v>
      </c>
      <c r="P489">
        <f t="shared" ca="1" si="83"/>
        <v>0</v>
      </c>
      <c r="Q489">
        <f t="shared" ca="1" si="84"/>
        <v>1</v>
      </c>
      <c r="R489">
        <f t="shared" ca="1" si="85"/>
        <v>0</v>
      </c>
      <c r="S489">
        <f t="shared" ca="1" si="86"/>
        <v>1</v>
      </c>
      <c r="T489" s="17">
        <f t="shared" ca="1" si="87"/>
        <v>5.8028571428571425</v>
      </c>
    </row>
    <row r="490" spans="2:20" x14ac:dyDescent="0.3">
      <c r="B490">
        <f t="shared" ca="1" si="78"/>
        <v>31</v>
      </c>
      <c r="C490" cm="1">
        <f t="array" aca="1" ref="C490" ca="1">INDIRECT(ADDRESS(myRAND(1,C$2,C$8:C$9)+5,C$1))</f>
        <v>0</v>
      </c>
      <c r="D490" cm="1">
        <f t="array" aca="1" ref="D490" ca="1">INDIRECT(ADDRESS(myRAND(1,D$2,D$8:D$9)+5,D$1))</f>
        <v>0</v>
      </c>
      <c r="E490" cm="1">
        <f t="array" aca="1" ref="E490" ca="1">INDIRECT(ADDRESS(myRAND(1,E$2,E$8:E$9)+5,E$1))</f>
        <v>0</v>
      </c>
      <c r="F490" cm="1">
        <f t="array" aca="1" ref="F490" ca="1">INDIRECT(ADDRESS(myRAND(1,F$2,F$8:F$9)+5,F$1))</f>
        <v>0</v>
      </c>
      <c r="G490" cm="1">
        <f t="array" aca="1" ref="G490" ca="1">INDIRECT(ADDRESS(myRAND(1,G$2,G$8:G$9)+5,G$1))</f>
        <v>0</v>
      </c>
      <c r="H490" cm="1">
        <f t="array" aca="1" ref="H490" ca="1">INDIRECT(ADDRESS(myRAND(1,H$2,H$8:H$9)+5,H$1))</f>
        <v>0</v>
      </c>
      <c r="I490" cm="1">
        <f t="array" aca="1" ref="I490" ca="1">INDIRECT(ADDRESS(myRAND(1,I$2,I$8:I$9)+5,I$1))</f>
        <v>0</v>
      </c>
      <c r="J490">
        <f t="shared" ca="1" si="77"/>
        <v>16</v>
      </c>
      <c r="K490">
        <f t="shared" ca="1" si="77"/>
        <v>217</v>
      </c>
      <c r="L490" s="3">
        <f t="shared" ca="1" si="79"/>
        <v>1</v>
      </c>
      <c r="M490" s="13">
        <f t="shared" ca="1" si="80"/>
        <v>4.1886607057792714E-2</v>
      </c>
      <c r="N490">
        <f t="shared" ca="1" si="81"/>
        <v>-3.13</v>
      </c>
      <c r="O490">
        <f t="shared" ca="1" si="82"/>
        <v>0</v>
      </c>
      <c r="P490">
        <f t="shared" ca="1" si="83"/>
        <v>0</v>
      </c>
      <c r="Q490">
        <f t="shared" ca="1" si="84"/>
        <v>0</v>
      </c>
      <c r="R490">
        <f t="shared" ca="1" si="85"/>
        <v>1</v>
      </c>
      <c r="S490">
        <f t="shared" ca="1" si="86"/>
        <v>0</v>
      </c>
      <c r="T490" s="17">
        <f t="shared" ca="1" si="87"/>
        <v>1.7338095238095237</v>
      </c>
    </row>
    <row r="491" spans="2:20" x14ac:dyDescent="0.3">
      <c r="B491">
        <f t="shared" ca="1" si="78"/>
        <v>32</v>
      </c>
      <c r="C491" cm="1">
        <f t="array" aca="1" ref="C491" ca="1">INDIRECT(ADDRESS(myRAND(1,C$2,C$8:C$9)+5,C$1))</f>
        <v>0</v>
      </c>
      <c r="D491" cm="1">
        <f t="array" aca="1" ref="D491" ca="1">INDIRECT(ADDRESS(myRAND(1,D$2,D$8:D$9)+5,D$1))</f>
        <v>1</v>
      </c>
      <c r="E491" cm="1">
        <f t="array" aca="1" ref="E491" ca="1">INDIRECT(ADDRESS(myRAND(1,E$2,E$8:E$9)+5,E$1))</f>
        <v>1</v>
      </c>
      <c r="F491" cm="1">
        <f t="array" aca="1" ref="F491" ca="1">INDIRECT(ADDRESS(myRAND(1,F$2,F$8:F$9)+5,F$1))</f>
        <v>1</v>
      </c>
      <c r="G491" cm="1">
        <f t="array" aca="1" ref="G491" ca="1">INDIRECT(ADDRESS(myRAND(1,G$2,G$8:G$9)+5,G$1))</f>
        <v>1</v>
      </c>
      <c r="H491" cm="1">
        <f t="array" aca="1" ref="H491" ca="1">INDIRECT(ADDRESS(myRAND(1,H$2,H$8:H$9)+5,H$1))</f>
        <v>0</v>
      </c>
      <c r="I491" cm="1">
        <f t="array" aca="1" ref="I491" ca="1">INDIRECT(ADDRESS(myRAND(1,I$2,I$8:I$9)+5,I$1))</f>
        <v>0</v>
      </c>
      <c r="J491">
        <f t="shared" ca="1" si="77"/>
        <v>16</v>
      </c>
      <c r="K491">
        <f t="shared" ca="1" si="77"/>
        <v>239</v>
      </c>
      <c r="L491" s="3">
        <f t="shared" ca="1" si="79"/>
        <v>1</v>
      </c>
      <c r="M491" s="13">
        <f t="shared" ca="1" si="80"/>
        <v>7.9438549183978399E-2</v>
      </c>
      <c r="N491">
        <f t="shared" ca="1" si="81"/>
        <v>-2.4499999999999997</v>
      </c>
      <c r="O491">
        <f t="shared" ca="1" si="82"/>
        <v>1</v>
      </c>
      <c r="P491">
        <f t="shared" ca="1" si="83"/>
        <v>0</v>
      </c>
      <c r="Q491">
        <f t="shared" ca="1" si="84"/>
        <v>0</v>
      </c>
      <c r="R491">
        <f t="shared" ca="1" si="85"/>
        <v>0</v>
      </c>
      <c r="S491">
        <f t="shared" ca="1" si="86"/>
        <v>1</v>
      </c>
      <c r="T491" s="17">
        <f t="shared" ca="1" si="87"/>
        <v>1.8485714285714285</v>
      </c>
    </row>
    <row r="492" spans="2:20" x14ac:dyDescent="0.3">
      <c r="B492">
        <f t="shared" ca="1" si="78"/>
        <v>47</v>
      </c>
      <c r="C492" cm="1">
        <f t="array" aca="1" ref="C492" ca="1">INDIRECT(ADDRESS(myRAND(1,C$2,C$8:C$9)+5,C$1))</f>
        <v>1</v>
      </c>
      <c r="D492" cm="1">
        <f t="array" aca="1" ref="D492" ca="1">INDIRECT(ADDRESS(myRAND(1,D$2,D$8:D$9)+5,D$1))</f>
        <v>1</v>
      </c>
      <c r="E492" cm="1">
        <f t="array" aca="1" ref="E492" ca="1">INDIRECT(ADDRESS(myRAND(1,E$2,E$8:E$9)+5,E$1))</f>
        <v>0</v>
      </c>
      <c r="F492" cm="1">
        <f t="array" aca="1" ref="F492" ca="1">INDIRECT(ADDRESS(myRAND(1,F$2,F$8:F$9)+5,F$1))</f>
        <v>1</v>
      </c>
      <c r="G492" cm="1">
        <f t="array" aca="1" ref="G492" ca="1">INDIRECT(ADDRESS(myRAND(1,G$2,G$8:G$9)+5,G$1))</f>
        <v>1</v>
      </c>
      <c r="H492" cm="1">
        <f t="array" aca="1" ref="H492" ca="1">INDIRECT(ADDRESS(myRAND(1,H$2,H$8:H$9)+5,H$1))</f>
        <v>0</v>
      </c>
      <c r="I492" cm="1">
        <f t="array" aca="1" ref="I492" ca="1">INDIRECT(ADDRESS(myRAND(1,I$2,I$8:I$9)+5,I$1))</f>
        <v>0</v>
      </c>
      <c r="J492">
        <f t="shared" ca="1" si="77"/>
        <v>16</v>
      </c>
      <c r="K492">
        <f t="shared" ca="1" si="77"/>
        <v>189</v>
      </c>
      <c r="L492" s="3">
        <f t="shared" ca="1" si="79"/>
        <v>3</v>
      </c>
      <c r="M492" s="13">
        <f t="shared" ca="1" si="80"/>
        <v>0.67917869917539297</v>
      </c>
      <c r="N492">
        <f t="shared" ca="1" si="81"/>
        <v>0.74999999999999978</v>
      </c>
      <c r="O492">
        <f t="shared" ca="1" si="82"/>
        <v>0</v>
      </c>
      <c r="P492">
        <f t="shared" ca="1" si="83"/>
        <v>1</v>
      </c>
      <c r="Q492">
        <f t="shared" ca="1" si="84"/>
        <v>0</v>
      </c>
      <c r="R492">
        <f t="shared" ca="1" si="85"/>
        <v>0</v>
      </c>
      <c r="S492">
        <f t="shared" ca="1" si="86"/>
        <v>1</v>
      </c>
      <c r="T492" s="17">
        <f t="shared" ca="1" si="87"/>
        <v>2.7604761904761905</v>
      </c>
    </row>
    <row r="493" spans="2:20" x14ac:dyDescent="0.3">
      <c r="B493">
        <f t="shared" ca="1" si="78"/>
        <v>55</v>
      </c>
      <c r="C493" cm="1">
        <f t="array" aca="1" ref="C493" ca="1">INDIRECT(ADDRESS(myRAND(1,C$2,C$8:C$9)+5,C$1))</f>
        <v>1</v>
      </c>
      <c r="D493" cm="1">
        <f t="array" aca="1" ref="D493" ca="1">INDIRECT(ADDRESS(myRAND(1,D$2,D$8:D$9)+5,D$1))</f>
        <v>1</v>
      </c>
      <c r="E493" cm="1">
        <f t="array" aca="1" ref="E493" ca="1">INDIRECT(ADDRESS(myRAND(1,E$2,E$8:E$9)+5,E$1))</f>
        <v>1</v>
      </c>
      <c r="F493" cm="1">
        <f t="array" aca="1" ref="F493" ca="1">INDIRECT(ADDRESS(myRAND(1,F$2,F$8:F$9)+5,F$1))</f>
        <v>0</v>
      </c>
      <c r="G493" cm="1">
        <f t="array" aca="1" ref="G493" ca="1">INDIRECT(ADDRESS(myRAND(1,G$2,G$8:G$9)+5,G$1))</f>
        <v>0</v>
      </c>
      <c r="H493" cm="1">
        <f t="array" aca="1" ref="H493" ca="1">INDIRECT(ADDRESS(myRAND(1,H$2,H$8:H$9)+5,H$1))</f>
        <v>0</v>
      </c>
      <c r="I493" cm="1">
        <f t="array" aca="1" ref="I493" ca="1">INDIRECT(ADDRESS(myRAND(1,I$2,I$8:I$9)+5,I$1))</f>
        <v>0</v>
      </c>
      <c r="J493">
        <f t="shared" ca="1" si="77"/>
        <v>13</v>
      </c>
      <c r="K493">
        <f t="shared" ca="1" si="77"/>
        <v>233</v>
      </c>
      <c r="L493" s="3">
        <f t="shared" ca="1" si="79"/>
        <v>3</v>
      </c>
      <c r="M493" s="13">
        <f t="shared" ca="1" si="80"/>
        <v>0.74459691582747589</v>
      </c>
      <c r="N493">
        <f t="shared" ca="1" si="81"/>
        <v>1.07</v>
      </c>
      <c r="O493">
        <f t="shared" ca="1" si="82"/>
        <v>0</v>
      </c>
      <c r="P493">
        <f t="shared" ca="1" si="83"/>
        <v>1</v>
      </c>
      <c r="Q493">
        <f t="shared" ca="1" si="84"/>
        <v>0</v>
      </c>
      <c r="R493">
        <f t="shared" ca="1" si="85"/>
        <v>0</v>
      </c>
      <c r="S493">
        <f t="shared" ca="1" si="86"/>
        <v>0</v>
      </c>
      <c r="T493" s="17">
        <f t="shared" ca="1" si="87"/>
        <v>2.85</v>
      </c>
    </row>
    <row r="494" spans="2:20" x14ac:dyDescent="0.3">
      <c r="B494">
        <f t="shared" ca="1" si="78"/>
        <v>39</v>
      </c>
      <c r="C494" cm="1">
        <f t="array" aca="1" ref="C494" ca="1">INDIRECT(ADDRESS(myRAND(1,C$2,C$8:C$9)+5,C$1))</f>
        <v>0</v>
      </c>
      <c r="D494" cm="1">
        <f t="array" aca="1" ref="D494" ca="1">INDIRECT(ADDRESS(myRAND(1,D$2,D$8:D$9)+5,D$1))</f>
        <v>1</v>
      </c>
      <c r="E494" cm="1">
        <f t="array" aca="1" ref="E494" ca="1">INDIRECT(ADDRESS(myRAND(1,E$2,E$8:E$9)+5,E$1))</f>
        <v>0</v>
      </c>
      <c r="F494" cm="1">
        <f t="array" aca="1" ref="F494" ca="1">INDIRECT(ADDRESS(myRAND(1,F$2,F$8:F$9)+5,F$1))</f>
        <v>1</v>
      </c>
      <c r="G494" cm="1">
        <f t="array" aca="1" ref="G494" ca="1">INDIRECT(ADDRESS(myRAND(1,G$2,G$8:G$9)+5,G$1))</f>
        <v>1</v>
      </c>
      <c r="H494" cm="1">
        <f t="array" aca="1" ref="H494" ca="1">INDIRECT(ADDRESS(myRAND(1,H$2,H$8:H$9)+5,H$1))</f>
        <v>0</v>
      </c>
      <c r="I494" cm="1">
        <f t="array" aca="1" ref="I494" ca="1">INDIRECT(ADDRESS(myRAND(1,I$2,I$8:I$9)+5,I$1))</f>
        <v>1</v>
      </c>
      <c r="J494">
        <f t="shared" ca="1" si="77"/>
        <v>17</v>
      </c>
      <c r="K494">
        <f t="shared" ca="1" si="77"/>
        <v>175</v>
      </c>
      <c r="L494" s="3">
        <f t="shared" ca="1" si="79"/>
        <v>3</v>
      </c>
      <c r="M494" s="13">
        <f t="shared" ca="1" si="80"/>
        <v>0.28699983724771833</v>
      </c>
      <c r="N494">
        <f t="shared" ca="1" si="81"/>
        <v>-0.91000000000000014</v>
      </c>
      <c r="O494">
        <f t="shared" ca="1" si="82"/>
        <v>0</v>
      </c>
      <c r="P494">
        <f t="shared" ca="1" si="83"/>
        <v>1</v>
      </c>
      <c r="Q494">
        <f t="shared" ca="1" si="84"/>
        <v>0</v>
      </c>
      <c r="R494">
        <f t="shared" ca="1" si="85"/>
        <v>0</v>
      </c>
      <c r="S494">
        <f t="shared" ca="1" si="86"/>
        <v>2</v>
      </c>
      <c r="T494" s="17">
        <f t="shared" ca="1" si="87"/>
        <v>4.68047619047619</v>
      </c>
    </row>
    <row r="495" spans="2:20" x14ac:dyDescent="0.3">
      <c r="B495">
        <f t="shared" ca="1" si="78"/>
        <v>59</v>
      </c>
      <c r="C495" cm="1">
        <f t="array" aca="1" ref="C495" ca="1">INDIRECT(ADDRESS(myRAND(1,C$2,C$8:C$9)+5,C$1))</f>
        <v>0</v>
      </c>
      <c r="D495" cm="1">
        <f t="array" aca="1" ref="D495" ca="1">INDIRECT(ADDRESS(myRAND(1,D$2,D$8:D$9)+5,D$1))</f>
        <v>1</v>
      </c>
      <c r="E495" cm="1">
        <f t="array" aca="1" ref="E495" ca="1">INDIRECT(ADDRESS(myRAND(1,E$2,E$8:E$9)+5,E$1))</f>
        <v>1</v>
      </c>
      <c r="F495" cm="1">
        <f t="array" aca="1" ref="F495" ca="1">INDIRECT(ADDRESS(myRAND(1,F$2,F$8:F$9)+5,F$1))</f>
        <v>0</v>
      </c>
      <c r="G495" cm="1">
        <f t="array" aca="1" ref="G495" ca="1">INDIRECT(ADDRESS(myRAND(1,G$2,G$8:G$9)+5,G$1))</f>
        <v>1</v>
      </c>
      <c r="H495" cm="1">
        <f t="array" aca="1" ref="H495" ca="1">INDIRECT(ADDRESS(myRAND(1,H$2,H$8:H$9)+5,H$1))</f>
        <v>1</v>
      </c>
      <c r="I495" cm="1">
        <f t="array" aca="1" ref="I495" ca="1">INDIRECT(ADDRESS(myRAND(1,I$2,I$8:I$9)+5,I$1))</f>
        <v>0</v>
      </c>
      <c r="J495">
        <f t="shared" ca="1" si="77"/>
        <v>16</v>
      </c>
      <c r="K495">
        <f t="shared" ca="1" si="77"/>
        <v>211</v>
      </c>
      <c r="L495" s="3">
        <f t="shared" ca="1" si="79"/>
        <v>3</v>
      </c>
      <c r="M495" s="13">
        <f t="shared" ca="1" si="80"/>
        <v>0.47252769565540614</v>
      </c>
      <c r="N495">
        <f t="shared" ca="1" si="81"/>
        <v>-0.11000000000000032</v>
      </c>
      <c r="O495">
        <f t="shared" ca="1" si="82"/>
        <v>0</v>
      </c>
      <c r="P495">
        <f t="shared" ca="1" si="83"/>
        <v>1</v>
      </c>
      <c r="Q495">
        <f t="shared" ca="1" si="84"/>
        <v>0</v>
      </c>
      <c r="R495">
        <f t="shared" ca="1" si="85"/>
        <v>0</v>
      </c>
      <c r="S495">
        <f t="shared" ca="1" si="86"/>
        <v>2</v>
      </c>
      <c r="T495" s="17">
        <f t="shared" ca="1" si="87"/>
        <v>1.9852380952380952</v>
      </c>
    </row>
    <row r="496" spans="2:20" x14ac:dyDescent="0.3">
      <c r="B496">
        <f t="shared" ca="1" si="78"/>
        <v>31</v>
      </c>
      <c r="C496" cm="1">
        <f t="array" aca="1" ref="C496" ca="1">INDIRECT(ADDRESS(myRAND(1,C$2,C$8:C$9)+5,C$1))</f>
        <v>0</v>
      </c>
      <c r="D496" cm="1">
        <f t="array" aca="1" ref="D496" ca="1">INDIRECT(ADDRESS(myRAND(1,D$2,D$8:D$9)+5,D$1))</f>
        <v>0</v>
      </c>
      <c r="E496" cm="1">
        <f t="array" aca="1" ref="E496" ca="1">INDIRECT(ADDRESS(myRAND(1,E$2,E$8:E$9)+5,E$1))</f>
        <v>1</v>
      </c>
      <c r="F496" cm="1">
        <f t="array" aca="1" ref="F496" ca="1">INDIRECT(ADDRESS(myRAND(1,F$2,F$8:F$9)+5,F$1))</f>
        <v>0</v>
      </c>
      <c r="G496" cm="1">
        <f t="array" aca="1" ref="G496" ca="1">INDIRECT(ADDRESS(myRAND(1,G$2,G$8:G$9)+5,G$1))</f>
        <v>0</v>
      </c>
      <c r="H496" cm="1">
        <f t="array" aca="1" ref="H496" ca="1">INDIRECT(ADDRESS(myRAND(1,H$2,H$8:H$9)+5,H$1))</f>
        <v>0</v>
      </c>
      <c r="I496" cm="1">
        <f t="array" aca="1" ref="I496" ca="1">INDIRECT(ADDRESS(myRAND(1,I$2,I$8:I$9)+5,I$1))</f>
        <v>1</v>
      </c>
      <c r="J496">
        <f t="shared" ca="1" si="77"/>
        <v>17</v>
      </c>
      <c r="K496">
        <f t="shared" ca="1" si="77"/>
        <v>208</v>
      </c>
      <c r="L496" s="3">
        <f t="shared" ca="1" si="79"/>
        <v>1</v>
      </c>
      <c r="M496" s="13">
        <f t="shared" ca="1" si="80"/>
        <v>4.1886607057792714E-2</v>
      </c>
      <c r="N496">
        <f t="shared" ca="1" si="81"/>
        <v>-3.13</v>
      </c>
      <c r="O496">
        <f t="shared" ca="1" si="82"/>
        <v>0</v>
      </c>
      <c r="P496">
        <f t="shared" ca="1" si="83"/>
        <v>0</v>
      </c>
      <c r="Q496">
        <f t="shared" ca="1" si="84"/>
        <v>1</v>
      </c>
      <c r="R496">
        <f t="shared" ca="1" si="85"/>
        <v>0</v>
      </c>
      <c r="S496">
        <f t="shared" ca="1" si="86"/>
        <v>1</v>
      </c>
      <c r="T496" s="17">
        <f t="shared" ca="1" si="87"/>
        <v>4.7576190476190474</v>
      </c>
    </row>
    <row r="497" spans="2:20" x14ac:dyDescent="0.3">
      <c r="B497">
        <f t="shared" ca="1" si="78"/>
        <v>43</v>
      </c>
      <c r="C497" cm="1">
        <f t="array" aca="1" ref="C497" ca="1">INDIRECT(ADDRESS(myRAND(1,C$2,C$8:C$9)+5,C$1))</f>
        <v>0</v>
      </c>
      <c r="D497" cm="1">
        <f t="array" aca="1" ref="D497" ca="1">INDIRECT(ADDRESS(myRAND(1,D$2,D$8:D$9)+5,D$1))</f>
        <v>1</v>
      </c>
      <c r="E497" cm="1">
        <f t="array" aca="1" ref="E497" ca="1">INDIRECT(ADDRESS(myRAND(1,E$2,E$8:E$9)+5,E$1))</f>
        <v>1</v>
      </c>
      <c r="F497" cm="1">
        <f t="array" aca="1" ref="F497" ca="1">INDIRECT(ADDRESS(myRAND(1,F$2,F$8:F$9)+5,F$1))</f>
        <v>0</v>
      </c>
      <c r="G497" cm="1">
        <f t="array" aca="1" ref="G497" ca="1">INDIRECT(ADDRESS(myRAND(1,G$2,G$8:G$9)+5,G$1))</f>
        <v>0</v>
      </c>
      <c r="H497" cm="1">
        <f t="array" aca="1" ref="H497" ca="1">INDIRECT(ADDRESS(myRAND(1,H$2,H$8:H$9)+5,H$1))</f>
        <v>0</v>
      </c>
      <c r="I497" cm="1">
        <f t="array" aca="1" ref="I497" ca="1">INDIRECT(ADDRESS(myRAND(1,I$2,I$8:I$9)+5,I$1))</f>
        <v>1</v>
      </c>
      <c r="J497">
        <f t="shared" ca="1" si="77"/>
        <v>13</v>
      </c>
      <c r="K497">
        <f t="shared" ca="1" si="77"/>
        <v>232</v>
      </c>
      <c r="L497" s="3">
        <f t="shared" ca="1" si="79"/>
        <v>2</v>
      </c>
      <c r="M497" s="13">
        <f t="shared" ca="1" si="80"/>
        <v>0.32082130082460691</v>
      </c>
      <c r="N497">
        <f t="shared" ca="1" si="81"/>
        <v>-0.75000000000000044</v>
      </c>
      <c r="O497">
        <f t="shared" ca="1" si="82"/>
        <v>0</v>
      </c>
      <c r="P497">
        <f t="shared" ca="1" si="83"/>
        <v>1</v>
      </c>
      <c r="Q497">
        <f t="shared" ca="1" si="84"/>
        <v>0</v>
      </c>
      <c r="R497">
        <f t="shared" ca="1" si="85"/>
        <v>0</v>
      </c>
      <c r="S497">
        <f t="shared" ca="1" si="86"/>
        <v>1</v>
      </c>
      <c r="T497" s="17">
        <f t="shared" ca="1" si="87"/>
        <v>4.7252380952380957</v>
      </c>
    </row>
    <row r="498" spans="2:20" x14ac:dyDescent="0.3">
      <c r="B498">
        <f t="shared" ca="1" si="78"/>
        <v>40</v>
      </c>
      <c r="C498" cm="1">
        <f t="array" aca="1" ref="C498" ca="1">INDIRECT(ADDRESS(myRAND(1,C$2,C$8:C$9)+5,C$1))</f>
        <v>0</v>
      </c>
      <c r="D498" cm="1">
        <f t="array" aca="1" ref="D498" ca="1">INDIRECT(ADDRESS(myRAND(1,D$2,D$8:D$9)+5,D$1))</f>
        <v>1</v>
      </c>
      <c r="E498" cm="1">
        <f t="array" aca="1" ref="E498" ca="1">INDIRECT(ADDRESS(myRAND(1,E$2,E$8:E$9)+5,E$1))</f>
        <v>0</v>
      </c>
      <c r="F498" cm="1">
        <f t="array" aca="1" ref="F498" ca="1">INDIRECT(ADDRESS(myRAND(1,F$2,F$8:F$9)+5,F$1))</f>
        <v>0</v>
      </c>
      <c r="G498" cm="1">
        <f t="array" aca="1" ref="G498" ca="1">INDIRECT(ADDRESS(myRAND(1,G$2,G$8:G$9)+5,G$1))</f>
        <v>0</v>
      </c>
      <c r="H498" cm="1">
        <f t="array" aca="1" ref="H498" ca="1">INDIRECT(ADDRESS(myRAND(1,H$2,H$8:H$9)+5,H$1))</f>
        <v>1</v>
      </c>
      <c r="I498" cm="1">
        <f t="array" aca="1" ref="I498" ca="1">INDIRECT(ADDRESS(myRAND(1,I$2,I$8:I$9)+5,I$1))</f>
        <v>0</v>
      </c>
      <c r="J498">
        <f t="shared" ca="1" si="77"/>
        <v>13</v>
      </c>
      <c r="K498">
        <f t="shared" ca="1" si="77"/>
        <v>203</v>
      </c>
      <c r="L498" s="3">
        <f t="shared" ca="1" si="79"/>
        <v>1</v>
      </c>
      <c r="M498" s="13">
        <f t="shared" ca="1" si="80"/>
        <v>5.8967013464791759E-2</v>
      </c>
      <c r="N498">
        <f t="shared" ca="1" si="81"/>
        <v>-2.77</v>
      </c>
      <c r="O498">
        <f t="shared" ca="1" si="82"/>
        <v>0</v>
      </c>
      <c r="P498">
        <f t="shared" ca="1" si="83"/>
        <v>0</v>
      </c>
      <c r="Q498">
        <f t="shared" ca="1" si="84"/>
        <v>1</v>
      </c>
      <c r="R498">
        <f t="shared" ca="1" si="85"/>
        <v>0</v>
      </c>
      <c r="S498">
        <f t="shared" ca="1" si="86"/>
        <v>1</v>
      </c>
      <c r="T498" s="17">
        <f t="shared" ca="1" si="87"/>
        <v>1.5571428571428572</v>
      </c>
    </row>
    <row r="499" spans="2:20" x14ac:dyDescent="0.3">
      <c r="B499">
        <f t="shared" ca="1" si="78"/>
        <v>47</v>
      </c>
      <c r="C499" cm="1">
        <f t="array" aca="1" ref="C499" ca="1">INDIRECT(ADDRESS(myRAND(1,C$2,C$8:C$9)+5,C$1))</f>
        <v>1</v>
      </c>
      <c r="D499" cm="1">
        <f t="array" aca="1" ref="D499" ca="1">INDIRECT(ADDRESS(myRAND(1,D$2,D$8:D$9)+5,D$1))</f>
        <v>1</v>
      </c>
      <c r="E499" cm="1">
        <f t="array" aca="1" ref="E499" ca="1">INDIRECT(ADDRESS(myRAND(1,E$2,E$8:E$9)+5,E$1))</f>
        <v>0</v>
      </c>
      <c r="F499" cm="1">
        <f t="array" aca="1" ref="F499" ca="1">INDIRECT(ADDRESS(myRAND(1,F$2,F$8:F$9)+5,F$1))</f>
        <v>0</v>
      </c>
      <c r="G499" cm="1">
        <f t="array" aca="1" ref="G499" ca="1">INDIRECT(ADDRESS(myRAND(1,G$2,G$8:G$9)+5,G$1))</f>
        <v>1</v>
      </c>
      <c r="H499" cm="1">
        <f t="array" aca="1" ref="H499" ca="1">INDIRECT(ADDRESS(myRAND(1,H$2,H$8:H$9)+5,H$1))</f>
        <v>1</v>
      </c>
      <c r="I499" cm="1">
        <f t="array" aca="1" ref="I499" ca="1">INDIRECT(ADDRESS(myRAND(1,I$2,I$8:I$9)+5,I$1))</f>
        <v>1</v>
      </c>
      <c r="J499">
        <f t="shared" ca="1" si="77"/>
        <v>12</v>
      </c>
      <c r="K499">
        <f t="shared" ca="1" si="77"/>
        <v>206</v>
      </c>
      <c r="L499" s="3">
        <f t="shared" ca="1" si="79"/>
        <v>2</v>
      </c>
      <c r="M499" s="13">
        <f t="shared" ca="1" si="80"/>
        <v>0.24048908305088887</v>
      </c>
      <c r="N499">
        <f t="shared" ca="1" si="81"/>
        <v>-1.1500000000000001</v>
      </c>
      <c r="O499">
        <f t="shared" ca="1" si="82"/>
        <v>0</v>
      </c>
      <c r="P499">
        <f t="shared" ca="1" si="83"/>
        <v>0</v>
      </c>
      <c r="Q499">
        <f t="shared" ca="1" si="84"/>
        <v>1</v>
      </c>
      <c r="R499">
        <f t="shared" ca="1" si="85"/>
        <v>0</v>
      </c>
      <c r="S499">
        <f t="shared" ca="1" si="86"/>
        <v>3</v>
      </c>
      <c r="T499" s="17">
        <f t="shared" ca="1" si="87"/>
        <v>5.574761904761905</v>
      </c>
    </row>
    <row r="500" spans="2:20" x14ac:dyDescent="0.3">
      <c r="B500">
        <f t="shared" ca="1" si="78"/>
        <v>39</v>
      </c>
      <c r="C500" cm="1">
        <f t="array" aca="1" ref="C500" ca="1">INDIRECT(ADDRESS(myRAND(1,C$2,C$8:C$9)+5,C$1))</f>
        <v>0</v>
      </c>
      <c r="D500" cm="1">
        <f t="array" aca="1" ref="D500" ca="1">INDIRECT(ADDRESS(myRAND(1,D$2,D$8:D$9)+5,D$1))</f>
        <v>1</v>
      </c>
      <c r="E500" cm="1">
        <f t="array" aca="1" ref="E500" ca="1">INDIRECT(ADDRESS(myRAND(1,E$2,E$8:E$9)+5,E$1))</f>
        <v>1</v>
      </c>
      <c r="F500" cm="1">
        <f t="array" aca="1" ref="F500" ca="1">INDIRECT(ADDRESS(myRAND(1,F$2,F$8:F$9)+5,F$1))</f>
        <v>0</v>
      </c>
      <c r="G500" cm="1">
        <f t="array" aca="1" ref="G500" ca="1">INDIRECT(ADDRESS(myRAND(1,G$2,G$8:G$9)+5,G$1))</f>
        <v>1</v>
      </c>
      <c r="H500" cm="1">
        <f t="array" aca="1" ref="H500" ca="1">INDIRECT(ADDRESS(myRAND(1,H$2,H$8:H$9)+5,H$1))</f>
        <v>0</v>
      </c>
      <c r="I500" cm="1">
        <f t="array" aca="1" ref="I500" ca="1">INDIRECT(ADDRESS(myRAND(1,I$2,I$8:I$9)+5,I$1))</f>
        <v>0</v>
      </c>
      <c r="J500">
        <f t="shared" ca="1" si="77"/>
        <v>13</v>
      </c>
      <c r="K500">
        <f t="shared" ca="1" si="77"/>
        <v>198</v>
      </c>
      <c r="L500" s="3">
        <f t="shared" ca="1" si="79"/>
        <v>3</v>
      </c>
      <c r="M500" s="13">
        <f t="shared" ca="1" si="80"/>
        <v>0.28699983724771833</v>
      </c>
      <c r="N500">
        <f t="shared" ca="1" si="81"/>
        <v>-0.91000000000000014</v>
      </c>
      <c r="O500">
        <f t="shared" ca="1" si="82"/>
        <v>0</v>
      </c>
      <c r="P500">
        <f t="shared" ca="1" si="83"/>
        <v>1</v>
      </c>
      <c r="Q500">
        <f t="shared" ca="1" si="84"/>
        <v>0</v>
      </c>
      <c r="R500">
        <f t="shared" ca="1" si="85"/>
        <v>0</v>
      </c>
      <c r="S500">
        <f t="shared" ca="1" si="86"/>
        <v>1</v>
      </c>
      <c r="T500" s="17">
        <f t="shared" ca="1" si="87"/>
        <v>1.5233333333333334</v>
      </c>
    </row>
    <row r="501" spans="2:20" x14ac:dyDescent="0.3">
      <c r="B501">
        <f t="shared" ca="1" si="78"/>
        <v>35</v>
      </c>
      <c r="C501" cm="1">
        <f t="array" aca="1" ref="C501" ca="1">INDIRECT(ADDRESS(myRAND(1,C$2,C$8:C$9)+5,C$1))</f>
        <v>0</v>
      </c>
      <c r="D501" cm="1">
        <f t="array" aca="1" ref="D501" ca="1">INDIRECT(ADDRESS(myRAND(1,D$2,D$8:D$9)+5,D$1))</f>
        <v>0</v>
      </c>
      <c r="E501" cm="1">
        <f t="array" aca="1" ref="E501" ca="1">INDIRECT(ADDRESS(myRAND(1,E$2,E$8:E$9)+5,E$1))</f>
        <v>0</v>
      </c>
      <c r="F501" cm="1">
        <f t="array" aca="1" ref="F501" ca="1">INDIRECT(ADDRESS(myRAND(1,F$2,F$8:F$9)+5,F$1))</f>
        <v>1</v>
      </c>
      <c r="G501" cm="1">
        <f t="array" aca="1" ref="G501" ca="1">INDIRECT(ADDRESS(myRAND(1,G$2,G$8:G$9)+5,G$1))</f>
        <v>0</v>
      </c>
      <c r="H501" cm="1">
        <f t="array" aca="1" ref="H501" ca="1">INDIRECT(ADDRESS(myRAND(1,H$2,H$8:H$9)+5,H$1))</f>
        <v>0</v>
      </c>
      <c r="I501" cm="1">
        <f t="array" aca="1" ref="I501" ca="1">INDIRECT(ADDRESS(myRAND(1,I$2,I$8:I$9)+5,I$1))</f>
        <v>0</v>
      </c>
      <c r="J501">
        <f t="shared" ca="1" si="77"/>
        <v>10</v>
      </c>
      <c r="K501">
        <f t="shared" ca="1" si="77"/>
        <v>187</v>
      </c>
      <c r="L501" s="3">
        <f t="shared" ca="1" si="79"/>
        <v>1</v>
      </c>
      <c r="M501" s="13">
        <f t="shared" ca="1" si="80"/>
        <v>4.8799722998800005E-2</v>
      </c>
      <c r="N501">
        <f t="shared" ca="1" si="81"/>
        <v>-2.9699999999999998</v>
      </c>
      <c r="O501">
        <f t="shared" ca="1" si="82"/>
        <v>0</v>
      </c>
      <c r="P501">
        <f t="shared" ca="1" si="83"/>
        <v>0</v>
      </c>
      <c r="Q501">
        <f t="shared" ca="1" si="84"/>
        <v>1</v>
      </c>
      <c r="R501">
        <f t="shared" ca="1" si="85"/>
        <v>0</v>
      </c>
      <c r="S501">
        <f t="shared" ca="1" si="86"/>
        <v>0</v>
      </c>
      <c r="T501" s="17">
        <f t="shared" ca="1" si="87"/>
        <v>1.230952380952381</v>
      </c>
    </row>
    <row r="502" spans="2:20" x14ac:dyDescent="0.3">
      <c r="B502">
        <f t="shared" ca="1" si="78"/>
        <v>50</v>
      </c>
      <c r="C502" cm="1">
        <f t="array" aca="1" ref="C502" ca="1">INDIRECT(ADDRESS(myRAND(1,C$2,C$8:C$9)+5,C$1))</f>
        <v>0</v>
      </c>
      <c r="D502" cm="1">
        <f t="array" aca="1" ref="D502" ca="1">INDIRECT(ADDRESS(myRAND(1,D$2,D$8:D$9)+5,D$1))</f>
        <v>0</v>
      </c>
      <c r="E502" cm="1">
        <f t="array" aca="1" ref="E502" ca="1">INDIRECT(ADDRESS(myRAND(1,E$2,E$8:E$9)+5,E$1))</f>
        <v>1</v>
      </c>
      <c r="F502" cm="1">
        <f t="array" aca="1" ref="F502" ca="1">INDIRECT(ADDRESS(myRAND(1,F$2,F$8:F$9)+5,F$1))</f>
        <v>1</v>
      </c>
      <c r="G502" cm="1">
        <f t="array" aca="1" ref="G502" ca="1">INDIRECT(ADDRESS(myRAND(1,G$2,G$8:G$9)+5,G$1))</f>
        <v>1</v>
      </c>
      <c r="H502" cm="1">
        <f t="array" aca="1" ref="H502" ca="1">INDIRECT(ADDRESS(myRAND(1,H$2,H$8:H$9)+5,H$1))</f>
        <v>0</v>
      </c>
      <c r="I502" cm="1">
        <f t="array" aca="1" ref="I502" ca="1">INDIRECT(ADDRESS(myRAND(1,I$2,I$8:I$9)+5,I$1))</f>
        <v>0</v>
      </c>
      <c r="J502">
        <f t="shared" ca="1" si="77"/>
        <v>10</v>
      </c>
      <c r="K502">
        <f t="shared" ca="1" si="77"/>
        <v>217</v>
      </c>
      <c r="L502" s="3">
        <f t="shared" ca="1" si="79"/>
        <v>3</v>
      </c>
      <c r="M502" s="13">
        <f t="shared" ca="1" si="80"/>
        <v>0.3846162436088178</v>
      </c>
      <c r="N502">
        <f t="shared" ca="1" si="81"/>
        <v>-0.4700000000000002</v>
      </c>
      <c r="O502">
        <f t="shared" ca="1" si="82"/>
        <v>0</v>
      </c>
      <c r="P502">
        <f t="shared" ca="1" si="83"/>
        <v>1</v>
      </c>
      <c r="Q502">
        <f t="shared" ca="1" si="84"/>
        <v>0</v>
      </c>
      <c r="R502">
        <f t="shared" ca="1" si="85"/>
        <v>0</v>
      </c>
      <c r="S502">
        <f t="shared" ca="1" si="86"/>
        <v>1</v>
      </c>
      <c r="T502" s="17">
        <f t="shared" ca="1" si="87"/>
        <v>1.5238095238095237</v>
      </c>
    </row>
    <row r="503" spans="2:20" x14ac:dyDescent="0.3">
      <c r="B503">
        <f t="shared" ca="1" si="78"/>
        <v>43</v>
      </c>
      <c r="C503" cm="1">
        <f t="array" aca="1" ref="C503" ca="1">INDIRECT(ADDRESS(myRAND(1,C$2,C$8:C$9)+5,C$1))</f>
        <v>1</v>
      </c>
      <c r="D503" cm="1">
        <f t="array" aca="1" ref="D503" ca="1">INDIRECT(ADDRESS(myRAND(1,D$2,D$8:D$9)+5,D$1))</f>
        <v>1</v>
      </c>
      <c r="E503" cm="1">
        <f t="array" aca="1" ref="E503" ca="1">INDIRECT(ADDRESS(myRAND(1,E$2,E$8:E$9)+5,E$1))</f>
        <v>0</v>
      </c>
      <c r="F503" cm="1">
        <f t="array" aca="1" ref="F503" ca="1">INDIRECT(ADDRESS(myRAND(1,F$2,F$8:F$9)+5,F$1))</f>
        <v>0</v>
      </c>
      <c r="G503" cm="1">
        <f t="array" aca="1" ref="G503" ca="1">INDIRECT(ADDRESS(myRAND(1,G$2,G$8:G$9)+5,G$1))</f>
        <v>0</v>
      </c>
      <c r="H503" cm="1">
        <f t="array" aca="1" ref="H503" ca="1">INDIRECT(ADDRESS(myRAND(1,H$2,H$8:H$9)+5,H$1))</f>
        <v>0</v>
      </c>
      <c r="I503" cm="1">
        <f t="array" aca="1" ref="I503" ca="1">INDIRECT(ADDRESS(myRAND(1,I$2,I$8:I$9)+5,I$1))</f>
        <v>1</v>
      </c>
      <c r="J503">
        <f t="shared" ca="1" si="77"/>
        <v>18</v>
      </c>
      <c r="K503">
        <f t="shared" ca="1" si="77"/>
        <v>217</v>
      </c>
      <c r="L503" s="3">
        <f t="shared" ca="1" si="79"/>
        <v>2</v>
      </c>
      <c r="M503" s="13">
        <f t="shared" ca="1" si="80"/>
        <v>0.21248684412253913</v>
      </c>
      <c r="N503">
        <f t="shared" ca="1" si="81"/>
        <v>-1.3100000000000003</v>
      </c>
      <c r="O503">
        <f t="shared" ca="1" si="82"/>
        <v>0</v>
      </c>
      <c r="P503">
        <f t="shared" ca="1" si="83"/>
        <v>0</v>
      </c>
      <c r="Q503">
        <f t="shared" ca="1" si="84"/>
        <v>1</v>
      </c>
      <c r="R503">
        <f t="shared" ca="1" si="85"/>
        <v>0</v>
      </c>
      <c r="S503">
        <f t="shared" ca="1" si="86"/>
        <v>1</v>
      </c>
      <c r="T503" s="17">
        <f t="shared" ca="1" si="87"/>
        <v>5.9871428571428567</v>
      </c>
    </row>
    <row r="504" spans="2:20" x14ac:dyDescent="0.3">
      <c r="B504">
        <f t="shared" ca="1" si="78"/>
        <v>48</v>
      </c>
      <c r="C504" cm="1">
        <f t="array" aca="1" ref="C504" ca="1">INDIRECT(ADDRESS(myRAND(1,C$2,C$8:C$9)+5,C$1))</f>
        <v>0</v>
      </c>
      <c r="D504" cm="1">
        <f t="array" aca="1" ref="D504" ca="1">INDIRECT(ADDRESS(myRAND(1,D$2,D$8:D$9)+5,D$1))</f>
        <v>0</v>
      </c>
      <c r="E504" cm="1">
        <f t="array" aca="1" ref="E504" ca="1">INDIRECT(ADDRESS(myRAND(1,E$2,E$8:E$9)+5,E$1))</f>
        <v>0</v>
      </c>
      <c r="F504" cm="1">
        <f t="array" aca="1" ref="F504" ca="1">INDIRECT(ADDRESS(myRAND(1,F$2,F$8:F$9)+5,F$1))</f>
        <v>0</v>
      </c>
      <c r="G504" cm="1">
        <f t="array" aca="1" ref="G504" ca="1">INDIRECT(ADDRESS(myRAND(1,G$2,G$8:G$9)+5,G$1))</f>
        <v>0</v>
      </c>
      <c r="H504" cm="1">
        <f t="array" aca="1" ref="H504" ca="1">INDIRECT(ADDRESS(myRAND(1,H$2,H$8:H$9)+5,H$1))</f>
        <v>1</v>
      </c>
      <c r="I504" cm="1">
        <f t="array" aca="1" ref="I504" ca="1">INDIRECT(ADDRESS(myRAND(1,I$2,I$8:I$9)+5,I$1))</f>
        <v>0</v>
      </c>
      <c r="J504">
        <f t="shared" ca="1" si="77"/>
        <v>19</v>
      </c>
      <c r="K504">
        <f t="shared" ca="1" si="77"/>
        <v>228</v>
      </c>
      <c r="L504" s="3">
        <f t="shared" ca="1" si="79"/>
        <v>3</v>
      </c>
      <c r="M504" s="13">
        <f t="shared" ca="1" si="80"/>
        <v>7.9438549183978358E-2</v>
      </c>
      <c r="N504">
        <f t="shared" ca="1" si="81"/>
        <v>-2.4500000000000002</v>
      </c>
      <c r="O504">
        <f t="shared" ca="1" si="82"/>
        <v>0</v>
      </c>
      <c r="P504">
        <f t="shared" ca="1" si="83"/>
        <v>0</v>
      </c>
      <c r="Q504">
        <f t="shared" ca="1" si="84"/>
        <v>0</v>
      </c>
      <c r="R504">
        <f t="shared" ca="1" si="85"/>
        <v>1</v>
      </c>
      <c r="S504">
        <f t="shared" ca="1" si="86"/>
        <v>1</v>
      </c>
      <c r="T504" s="17">
        <f t="shared" ca="1" si="87"/>
        <v>2.156190476190476</v>
      </c>
    </row>
    <row r="505" spans="2:20" x14ac:dyDescent="0.3">
      <c r="B505">
        <f t="shared" ca="1" si="78"/>
        <v>54</v>
      </c>
      <c r="C505" cm="1">
        <f t="array" aca="1" ref="C505" ca="1">INDIRECT(ADDRESS(myRAND(1,C$2,C$8:C$9)+5,C$1))</f>
        <v>0</v>
      </c>
      <c r="D505" cm="1">
        <f t="array" aca="1" ref="D505" ca="1">INDIRECT(ADDRESS(myRAND(1,D$2,D$8:D$9)+5,D$1))</f>
        <v>1</v>
      </c>
      <c r="E505" cm="1">
        <f t="array" aca="1" ref="E505" ca="1">INDIRECT(ADDRESS(myRAND(1,E$2,E$8:E$9)+5,E$1))</f>
        <v>1</v>
      </c>
      <c r="F505" cm="1">
        <f t="array" aca="1" ref="F505" ca="1">INDIRECT(ADDRESS(myRAND(1,F$2,F$8:F$9)+5,F$1))</f>
        <v>1</v>
      </c>
      <c r="G505" cm="1">
        <f t="array" aca="1" ref="G505" ca="1">INDIRECT(ADDRESS(myRAND(1,G$2,G$8:G$9)+5,G$1))</f>
        <v>0</v>
      </c>
      <c r="H505" cm="1">
        <f t="array" aca="1" ref="H505" ca="1">INDIRECT(ADDRESS(myRAND(1,H$2,H$8:H$9)+5,H$1))</f>
        <v>1</v>
      </c>
      <c r="I505" cm="1">
        <f t="array" aca="1" ref="I505" ca="1">INDIRECT(ADDRESS(myRAND(1,I$2,I$8:I$9)+5,I$1))</f>
        <v>0</v>
      </c>
      <c r="J505">
        <f t="shared" ca="1" si="77"/>
        <v>17</v>
      </c>
      <c r="K505">
        <f t="shared" ca="1" si="77"/>
        <v>193</v>
      </c>
      <c r="L505" s="3">
        <f t="shared" ca="1" si="79"/>
        <v>3</v>
      </c>
      <c r="M505" s="13">
        <f t="shared" ca="1" si="80"/>
        <v>0.17221639173387782</v>
      </c>
      <c r="N505">
        <f t="shared" ca="1" si="81"/>
        <v>-1.5699999999999998</v>
      </c>
      <c r="O505">
        <f t="shared" ca="1" si="82"/>
        <v>1</v>
      </c>
      <c r="P505">
        <f t="shared" ca="1" si="83"/>
        <v>0</v>
      </c>
      <c r="Q505">
        <f t="shared" ca="1" si="84"/>
        <v>0</v>
      </c>
      <c r="R505">
        <f t="shared" ca="1" si="85"/>
        <v>0</v>
      </c>
      <c r="S505">
        <f t="shared" ca="1" si="86"/>
        <v>1</v>
      </c>
      <c r="T505" s="17">
        <f t="shared" ca="1" si="87"/>
        <v>1.9161904761904762</v>
      </c>
    </row>
    <row r="506" spans="2:20" x14ac:dyDescent="0.3">
      <c r="B506">
        <f t="shared" ca="1" si="78"/>
        <v>35</v>
      </c>
      <c r="C506" cm="1">
        <f t="array" aca="1" ref="C506" ca="1">INDIRECT(ADDRESS(myRAND(1,C$2,C$8:C$9)+5,C$1))</f>
        <v>0</v>
      </c>
      <c r="D506" cm="1">
        <f t="array" aca="1" ref="D506" ca="1">INDIRECT(ADDRESS(myRAND(1,D$2,D$8:D$9)+5,D$1))</f>
        <v>1</v>
      </c>
      <c r="E506" cm="1">
        <f t="array" aca="1" ref="E506" ca="1">INDIRECT(ADDRESS(myRAND(1,E$2,E$8:E$9)+5,E$1))</f>
        <v>1</v>
      </c>
      <c r="F506" cm="1">
        <f t="array" aca="1" ref="F506" ca="1">INDIRECT(ADDRESS(myRAND(1,F$2,F$8:F$9)+5,F$1))</f>
        <v>1</v>
      </c>
      <c r="G506" cm="1">
        <f t="array" aca="1" ref="G506" ca="1">INDIRECT(ADDRESS(myRAND(1,G$2,G$8:G$9)+5,G$1))</f>
        <v>0</v>
      </c>
      <c r="H506" cm="1">
        <f t="array" aca="1" ref="H506" ca="1">INDIRECT(ADDRESS(myRAND(1,H$2,H$8:H$9)+5,H$1))</f>
        <v>0</v>
      </c>
      <c r="I506" cm="1">
        <f t="array" aca="1" ref="I506" ca="1">INDIRECT(ADDRESS(myRAND(1,I$2,I$8:I$9)+5,I$1))</f>
        <v>1</v>
      </c>
      <c r="J506">
        <f t="shared" ca="1" si="77"/>
        <v>20</v>
      </c>
      <c r="K506">
        <f t="shared" ca="1" si="77"/>
        <v>224</v>
      </c>
      <c r="L506" s="3">
        <f t="shared" ca="1" si="79"/>
        <v>1</v>
      </c>
      <c r="M506" s="13">
        <f t="shared" ca="1" si="80"/>
        <v>8.8668663254733313E-2</v>
      </c>
      <c r="N506">
        <f t="shared" ca="1" si="81"/>
        <v>-2.3299999999999996</v>
      </c>
      <c r="O506">
        <f t="shared" ca="1" si="82"/>
        <v>1</v>
      </c>
      <c r="P506">
        <f t="shared" ca="1" si="83"/>
        <v>0</v>
      </c>
      <c r="Q506">
        <f t="shared" ca="1" si="84"/>
        <v>0</v>
      </c>
      <c r="R506">
        <f t="shared" ca="1" si="85"/>
        <v>0</v>
      </c>
      <c r="S506">
        <f t="shared" ca="1" si="86"/>
        <v>1</v>
      </c>
      <c r="T506" s="17">
        <f t="shared" ca="1" si="87"/>
        <v>5.0738095238095235</v>
      </c>
    </row>
    <row r="507" spans="2:20" x14ac:dyDescent="0.3">
      <c r="B507">
        <f t="shared" ca="1" si="78"/>
        <v>57</v>
      </c>
      <c r="C507" cm="1">
        <f t="array" aca="1" ref="C507" ca="1">INDIRECT(ADDRESS(myRAND(1,C$2,C$8:C$9)+5,C$1))</f>
        <v>0</v>
      </c>
      <c r="D507" cm="1">
        <f t="array" aca="1" ref="D507" ca="1">INDIRECT(ADDRESS(myRAND(1,D$2,D$8:D$9)+5,D$1))</f>
        <v>1</v>
      </c>
      <c r="E507" cm="1">
        <f t="array" aca="1" ref="E507" ca="1">INDIRECT(ADDRESS(myRAND(1,E$2,E$8:E$9)+5,E$1))</f>
        <v>0</v>
      </c>
      <c r="F507" cm="1">
        <f t="array" aca="1" ref="F507" ca="1">INDIRECT(ADDRESS(myRAND(1,F$2,F$8:F$9)+5,F$1))</f>
        <v>1</v>
      </c>
      <c r="G507" cm="1">
        <f t="array" aca="1" ref="G507" ca="1">INDIRECT(ADDRESS(myRAND(1,G$2,G$8:G$9)+5,G$1))</f>
        <v>0</v>
      </c>
      <c r="H507" cm="1">
        <f t="array" aca="1" ref="H507" ca="1">INDIRECT(ADDRESS(myRAND(1,H$2,H$8:H$9)+5,H$1))</f>
        <v>1</v>
      </c>
      <c r="I507" cm="1">
        <f t="array" aca="1" ref="I507" ca="1">INDIRECT(ADDRESS(myRAND(1,I$2,I$8:I$9)+5,I$1))</f>
        <v>1</v>
      </c>
      <c r="J507">
        <f t="shared" ca="1" si="77"/>
        <v>17</v>
      </c>
      <c r="K507">
        <f t="shared" ca="1" si="77"/>
        <v>204</v>
      </c>
      <c r="L507" s="3">
        <f t="shared" ca="1" si="79"/>
        <v>3</v>
      </c>
      <c r="M507" s="13">
        <f t="shared" ca="1" si="80"/>
        <v>0.45264238185691075</v>
      </c>
      <c r="N507">
        <f t="shared" ca="1" si="81"/>
        <v>-0.18999999999999995</v>
      </c>
      <c r="O507">
        <f t="shared" ca="1" si="82"/>
        <v>0</v>
      </c>
      <c r="P507">
        <f t="shared" ca="1" si="83"/>
        <v>1</v>
      </c>
      <c r="Q507">
        <f t="shared" ca="1" si="84"/>
        <v>0</v>
      </c>
      <c r="R507">
        <f t="shared" ca="1" si="85"/>
        <v>0</v>
      </c>
      <c r="S507">
        <f t="shared" ca="1" si="86"/>
        <v>2</v>
      </c>
      <c r="T507" s="17">
        <f t="shared" ca="1" si="87"/>
        <v>4.9985714285714291</v>
      </c>
    </row>
    <row r="508" spans="2:20" x14ac:dyDescent="0.3">
      <c r="B508">
        <f t="shared" ca="1" si="78"/>
        <v>56</v>
      </c>
      <c r="C508" cm="1">
        <f t="array" aca="1" ref="C508" ca="1">INDIRECT(ADDRESS(myRAND(1,C$2,C$8:C$9)+5,C$1))</f>
        <v>0</v>
      </c>
      <c r="D508" cm="1">
        <f t="array" aca="1" ref="D508" ca="1">INDIRECT(ADDRESS(myRAND(1,D$2,D$8:D$9)+5,D$1))</f>
        <v>1</v>
      </c>
      <c r="E508" cm="1">
        <f t="array" aca="1" ref="E508" ca="1">INDIRECT(ADDRESS(myRAND(1,E$2,E$8:E$9)+5,E$1))</f>
        <v>1</v>
      </c>
      <c r="F508" cm="1">
        <f t="array" aca="1" ref="F508" ca="1">INDIRECT(ADDRESS(myRAND(1,F$2,F$8:F$9)+5,F$1))</f>
        <v>1</v>
      </c>
      <c r="G508" cm="1">
        <f t="array" aca="1" ref="G508" ca="1">INDIRECT(ADDRESS(myRAND(1,G$2,G$8:G$9)+5,G$1))</f>
        <v>0</v>
      </c>
      <c r="H508" cm="1">
        <f t="array" aca="1" ref="H508" ca="1">INDIRECT(ADDRESS(myRAND(1,H$2,H$8:H$9)+5,H$1))</f>
        <v>1</v>
      </c>
      <c r="I508" cm="1">
        <f t="array" aca="1" ref="I508" ca="1">INDIRECT(ADDRESS(myRAND(1,I$2,I$8:I$9)+5,I$1))</f>
        <v>1</v>
      </c>
      <c r="J508">
        <f t="shared" ca="1" si="77"/>
        <v>14</v>
      </c>
      <c r="K508">
        <f t="shared" ca="1" si="77"/>
        <v>204</v>
      </c>
      <c r="L508" s="3">
        <f t="shared" ca="1" si="79"/>
        <v>3</v>
      </c>
      <c r="M508" s="13">
        <f t="shared" ca="1" si="80"/>
        <v>0.1839217274195043</v>
      </c>
      <c r="N508">
        <f t="shared" ca="1" si="81"/>
        <v>-1.4899999999999998</v>
      </c>
      <c r="O508">
        <f t="shared" ca="1" si="82"/>
        <v>1</v>
      </c>
      <c r="P508">
        <f t="shared" ca="1" si="83"/>
        <v>0</v>
      </c>
      <c r="Q508">
        <f t="shared" ca="1" si="84"/>
        <v>0</v>
      </c>
      <c r="R508">
        <f t="shared" ca="1" si="85"/>
        <v>0</v>
      </c>
      <c r="S508">
        <f t="shared" ca="1" si="86"/>
        <v>2</v>
      </c>
      <c r="T508" s="17">
        <f t="shared" ca="1" si="87"/>
        <v>4.7885714285714283</v>
      </c>
    </row>
    <row r="509" spans="2:20" x14ac:dyDescent="0.3">
      <c r="B509">
        <f t="shared" ca="1" si="78"/>
        <v>58</v>
      </c>
      <c r="C509" cm="1">
        <f t="array" aca="1" ref="C509" ca="1">INDIRECT(ADDRESS(myRAND(1,C$2,C$8:C$9)+5,C$1))</f>
        <v>0</v>
      </c>
      <c r="D509" cm="1">
        <f t="array" aca="1" ref="D509" ca="1">INDIRECT(ADDRESS(myRAND(1,D$2,D$8:D$9)+5,D$1))</f>
        <v>1</v>
      </c>
      <c r="E509" cm="1">
        <f t="array" aca="1" ref="E509" ca="1">INDIRECT(ADDRESS(myRAND(1,E$2,E$8:E$9)+5,E$1))</f>
        <v>0</v>
      </c>
      <c r="F509" cm="1">
        <f t="array" aca="1" ref="F509" ca="1">INDIRECT(ADDRESS(myRAND(1,F$2,F$8:F$9)+5,F$1))</f>
        <v>0</v>
      </c>
      <c r="G509" cm="1">
        <f t="array" aca="1" ref="G509" ca="1">INDIRECT(ADDRESS(myRAND(1,G$2,G$8:G$9)+5,G$1))</f>
        <v>0</v>
      </c>
      <c r="H509" cm="1">
        <f t="array" aca="1" ref="H509" ca="1">INDIRECT(ADDRESS(myRAND(1,H$2,H$8:H$9)+5,H$1))</f>
        <v>0</v>
      </c>
      <c r="I509" cm="1">
        <f t="array" aca="1" ref="I509" ca="1">INDIRECT(ADDRESS(myRAND(1,I$2,I$8:I$9)+5,I$1))</f>
        <v>1</v>
      </c>
      <c r="J509">
        <f t="shared" ca="1" si="77"/>
        <v>15</v>
      </c>
      <c r="K509">
        <f t="shared" ca="1" si="77"/>
        <v>197</v>
      </c>
      <c r="L509" s="3">
        <f t="shared" ca="1" si="79"/>
        <v>1</v>
      </c>
      <c r="M509" s="13">
        <f t="shared" ca="1" si="80"/>
        <v>0.11405238127979084</v>
      </c>
      <c r="N509">
        <f t="shared" ca="1" si="81"/>
        <v>-2.0500000000000003</v>
      </c>
      <c r="O509">
        <f t="shared" ca="1" si="82"/>
        <v>0</v>
      </c>
      <c r="P509">
        <f t="shared" ca="1" si="83"/>
        <v>0</v>
      </c>
      <c r="Q509">
        <f t="shared" ca="1" si="84"/>
        <v>1</v>
      </c>
      <c r="R509">
        <f t="shared" ca="1" si="85"/>
        <v>0</v>
      </c>
      <c r="S509">
        <f t="shared" ca="1" si="86"/>
        <v>1</v>
      </c>
      <c r="T509" s="17">
        <f t="shared" ca="1" si="87"/>
        <v>4.8419047619047619</v>
      </c>
    </row>
    <row r="510" spans="2:20" x14ac:dyDescent="0.3">
      <c r="B510">
        <f t="shared" ca="1" si="78"/>
        <v>50</v>
      </c>
      <c r="C510" cm="1">
        <f t="array" aca="1" ref="C510" ca="1">INDIRECT(ADDRESS(myRAND(1,C$2,C$8:C$9)+5,C$1))</f>
        <v>1</v>
      </c>
      <c r="D510" cm="1">
        <f t="array" aca="1" ref="D510" ca="1">INDIRECT(ADDRESS(myRAND(1,D$2,D$8:D$9)+5,D$1))</f>
        <v>0</v>
      </c>
      <c r="E510" cm="1">
        <f t="array" aca="1" ref="E510" ca="1">INDIRECT(ADDRESS(myRAND(1,E$2,E$8:E$9)+5,E$1))</f>
        <v>1</v>
      </c>
      <c r="F510" cm="1">
        <f t="array" aca="1" ref="F510" ca="1">INDIRECT(ADDRESS(myRAND(1,F$2,F$8:F$9)+5,F$1))</f>
        <v>1</v>
      </c>
      <c r="G510" cm="1">
        <f t="array" aca="1" ref="G510" ca="1">INDIRECT(ADDRESS(myRAND(1,G$2,G$8:G$9)+5,G$1))</f>
        <v>1</v>
      </c>
      <c r="H510" cm="1">
        <f t="array" aca="1" ref="H510" ca="1">INDIRECT(ADDRESS(myRAND(1,H$2,H$8:H$9)+5,H$1))</f>
        <v>1</v>
      </c>
      <c r="I510" cm="1">
        <f t="array" aca="1" ref="I510" ca="1">INDIRECT(ADDRESS(myRAND(1,I$2,I$8:I$9)+5,I$1))</f>
        <v>0</v>
      </c>
      <c r="J510">
        <f t="shared" ca="1" si="77"/>
        <v>18</v>
      </c>
      <c r="K510">
        <f t="shared" ca="1" si="77"/>
        <v>228</v>
      </c>
      <c r="L510" s="3">
        <f t="shared" ca="1" si="79"/>
        <v>3</v>
      </c>
      <c r="M510" s="13">
        <f t="shared" ca="1" si="80"/>
        <v>0.70474569799809106</v>
      </c>
      <c r="N510">
        <f t="shared" ca="1" si="81"/>
        <v>0.86999999999999988</v>
      </c>
      <c r="O510">
        <f t="shared" ca="1" si="82"/>
        <v>0</v>
      </c>
      <c r="P510">
        <f t="shared" ca="1" si="83"/>
        <v>1</v>
      </c>
      <c r="Q510">
        <f t="shared" ca="1" si="84"/>
        <v>0</v>
      </c>
      <c r="R510">
        <f t="shared" ca="1" si="85"/>
        <v>0</v>
      </c>
      <c r="S510">
        <f t="shared" ca="1" si="86"/>
        <v>2</v>
      </c>
      <c r="T510" s="17">
        <f t="shared" ca="1" si="87"/>
        <v>3.1095238095238096</v>
      </c>
    </row>
    <row r="511" spans="2:20" x14ac:dyDescent="0.3">
      <c r="B511">
        <f t="shared" ca="1" si="78"/>
        <v>45</v>
      </c>
      <c r="C511" cm="1">
        <f t="array" aca="1" ref="C511" ca="1">INDIRECT(ADDRESS(myRAND(1,C$2,C$8:C$9)+5,C$1))</f>
        <v>1</v>
      </c>
      <c r="D511" cm="1">
        <f t="array" aca="1" ref="D511" ca="1">INDIRECT(ADDRESS(myRAND(1,D$2,D$8:D$9)+5,D$1))</f>
        <v>1</v>
      </c>
      <c r="E511" cm="1">
        <f t="array" aca="1" ref="E511" ca="1">INDIRECT(ADDRESS(myRAND(1,E$2,E$8:E$9)+5,E$1))</f>
        <v>1</v>
      </c>
      <c r="F511" cm="1">
        <f t="array" aca="1" ref="F511" ca="1">INDIRECT(ADDRESS(myRAND(1,F$2,F$8:F$9)+5,F$1))</f>
        <v>1</v>
      </c>
      <c r="G511" cm="1">
        <f t="array" aca="1" ref="G511" ca="1">INDIRECT(ADDRESS(myRAND(1,G$2,G$8:G$9)+5,G$1))</f>
        <v>0</v>
      </c>
      <c r="H511" cm="1">
        <f t="array" aca="1" ref="H511" ca="1">INDIRECT(ADDRESS(myRAND(1,H$2,H$8:H$9)+5,H$1))</f>
        <v>0</v>
      </c>
      <c r="I511" cm="1">
        <f t="array" aca="1" ref="I511" ca="1">INDIRECT(ADDRESS(myRAND(1,I$2,I$8:I$9)+5,I$1))</f>
        <v>1</v>
      </c>
      <c r="J511">
        <f t="shared" ca="1" si="77"/>
        <v>13</v>
      </c>
      <c r="K511">
        <f t="shared" ca="1" si="77"/>
        <v>195</v>
      </c>
      <c r="L511" s="3">
        <f t="shared" ca="1" si="79"/>
        <v>2</v>
      </c>
      <c r="M511" s="13">
        <f t="shared" ca="1" si="80"/>
        <v>0.35663485430559821</v>
      </c>
      <c r="N511">
        <f t="shared" ca="1" si="81"/>
        <v>-0.59000000000000019</v>
      </c>
      <c r="O511">
        <f t="shared" ca="1" si="82"/>
        <v>1</v>
      </c>
      <c r="P511">
        <f t="shared" ca="1" si="83"/>
        <v>0</v>
      </c>
      <c r="Q511">
        <f t="shared" ca="1" si="84"/>
        <v>0</v>
      </c>
      <c r="R511">
        <f t="shared" ca="1" si="85"/>
        <v>0</v>
      </c>
      <c r="S511">
        <f t="shared" ca="1" si="86"/>
        <v>1</v>
      </c>
      <c r="T511" s="17">
        <f t="shared" ca="1" si="87"/>
        <v>5.5690476190476188</v>
      </c>
    </row>
    <row r="512" spans="2:20" x14ac:dyDescent="0.3">
      <c r="B512">
        <f t="shared" ca="1" si="78"/>
        <v>37</v>
      </c>
      <c r="C512" cm="1">
        <f t="array" aca="1" ref="C512" ca="1">INDIRECT(ADDRESS(myRAND(1,C$2,C$8:C$9)+5,C$1))</f>
        <v>1</v>
      </c>
      <c r="D512" cm="1">
        <f t="array" aca="1" ref="D512" ca="1">INDIRECT(ADDRESS(myRAND(1,D$2,D$8:D$9)+5,D$1))</f>
        <v>1</v>
      </c>
      <c r="E512" cm="1">
        <f t="array" aca="1" ref="E512" ca="1">INDIRECT(ADDRESS(myRAND(1,E$2,E$8:E$9)+5,E$1))</f>
        <v>0</v>
      </c>
      <c r="F512" cm="1">
        <f t="array" aca="1" ref="F512" ca="1">INDIRECT(ADDRESS(myRAND(1,F$2,F$8:F$9)+5,F$1))</f>
        <v>0</v>
      </c>
      <c r="G512" cm="1">
        <f t="array" aca="1" ref="G512" ca="1">INDIRECT(ADDRESS(myRAND(1,G$2,G$8:G$9)+5,G$1))</f>
        <v>1</v>
      </c>
      <c r="H512" cm="1">
        <f t="array" aca="1" ref="H512" ca="1">INDIRECT(ADDRESS(myRAND(1,H$2,H$8:H$9)+5,H$1))</f>
        <v>0</v>
      </c>
      <c r="I512" cm="1">
        <f t="array" aca="1" ref="I512" ca="1">INDIRECT(ADDRESS(myRAND(1,I$2,I$8:I$9)+5,I$1))</f>
        <v>0</v>
      </c>
      <c r="J512">
        <f t="shared" ca="1" si="77"/>
        <v>18</v>
      </c>
      <c r="K512">
        <f t="shared" ca="1" si="77"/>
        <v>234</v>
      </c>
      <c r="L512" s="3">
        <f t="shared" ca="1" si="79"/>
        <v>2</v>
      </c>
      <c r="M512" s="13">
        <f t="shared" ca="1" si="80"/>
        <v>0.1750862681640398</v>
      </c>
      <c r="N512">
        <f t="shared" ca="1" si="81"/>
        <v>-1.55</v>
      </c>
      <c r="O512">
        <f t="shared" ca="1" si="82"/>
        <v>0</v>
      </c>
      <c r="P512">
        <f t="shared" ca="1" si="83"/>
        <v>0</v>
      </c>
      <c r="Q512">
        <f t="shared" ca="1" si="84"/>
        <v>1</v>
      </c>
      <c r="R512">
        <f t="shared" ca="1" si="85"/>
        <v>0</v>
      </c>
      <c r="S512">
        <f t="shared" ca="1" si="86"/>
        <v>1</v>
      </c>
      <c r="T512" s="17">
        <f t="shared" ca="1" si="87"/>
        <v>3.0080952380952377</v>
      </c>
    </row>
    <row r="513" spans="2:20" x14ac:dyDescent="0.3">
      <c r="B513">
        <f t="shared" ca="1" si="78"/>
        <v>36</v>
      </c>
      <c r="C513" cm="1">
        <f t="array" aca="1" ref="C513" ca="1">INDIRECT(ADDRESS(myRAND(1,C$2,C$8:C$9)+5,C$1))</f>
        <v>1</v>
      </c>
      <c r="D513" cm="1">
        <f t="array" aca="1" ref="D513" ca="1">INDIRECT(ADDRESS(myRAND(1,D$2,D$8:D$9)+5,D$1))</f>
        <v>1</v>
      </c>
      <c r="E513" cm="1">
        <f t="array" aca="1" ref="E513" ca="1">INDIRECT(ADDRESS(myRAND(1,E$2,E$8:E$9)+5,E$1))</f>
        <v>0</v>
      </c>
      <c r="F513" cm="1">
        <f t="array" aca="1" ref="F513" ca="1">INDIRECT(ADDRESS(myRAND(1,F$2,F$8:F$9)+5,F$1))</f>
        <v>1</v>
      </c>
      <c r="G513" cm="1">
        <f t="array" aca="1" ref="G513" ca="1">INDIRECT(ADDRESS(myRAND(1,G$2,G$8:G$9)+5,G$1))</f>
        <v>1</v>
      </c>
      <c r="H513" cm="1">
        <f t="array" aca="1" ref="H513" ca="1">INDIRECT(ADDRESS(myRAND(1,H$2,H$8:H$9)+5,H$1))</f>
        <v>1</v>
      </c>
      <c r="I513" cm="1">
        <f t="array" aca="1" ref="I513" ca="1">INDIRECT(ADDRESS(myRAND(1,I$2,I$8:I$9)+5,I$1))</f>
        <v>1</v>
      </c>
      <c r="J513">
        <f t="shared" ca="1" si="77"/>
        <v>12</v>
      </c>
      <c r="K513">
        <f t="shared" ca="1" si="77"/>
        <v>194</v>
      </c>
      <c r="L513" s="3">
        <f t="shared" ca="1" si="79"/>
        <v>3</v>
      </c>
      <c r="M513" s="13">
        <f t="shared" ca="1" si="80"/>
        <v>0.5768852611320463</v>
      </c>
      <c r="N513">
        <f t="shared" ca="1" si="81"/>
        <v>0.30999999999999983</v>
      </c>
      <c r="O513">
        <f t="shared" ca="1" si="82"/>
        <v>0</v>
      </c>
      <c r="P513">
        <f t="shared" ca="1" si="83"/>
        <v>1</v>
      </c>
      <c r="Q513">
        <f t="shared" ca="1" si="84"/>
        <v>0</v>
      </c>
      <c r="R513">
        <f t="shared" ca="1" si="85"/>
        <v>0</v>
      </c>
      <c r="S513">
        <f t="shared" ca="1" si="86"/>
        <v>3</v>
      </c>
      <c r="T513" s="17">
        <f t="shared" ca="1" si="87"/>
        <v>5.4076190476190478</v>
      </c>
    </row>
    <row r="514" spans="2:20" x14ac:dyDescent="0.3">
      <c r="B514">
        <f t="shared" ca="1" si="78"/>
        <v>52</v>
      </c>
      <c r="C514" cm="1">
        <f t="array" aca="1" ref="C514" ca="1">INDIRECT(ADDRESS(myRAND(1,C$2,C$8:C$9)+5,C$1))</f>
        <v>1</v>
      </c>
      <c r="D514" cm="1">
        <f t="array" aca="1" ref="D514" ca="1">INDIRECT(ADDRESS(myRAND(1,D$2,D$8:D$9)+5,D$1))</f>
        <v>0</v>
      </c>
      <c r="E514" cm="1">
        <f t="array" aca="1" ref="E514" ca="1">INDIRECT(ADDRESS(myRAND(1,E$2,E$8:E$9)+5,E$1))</f>
        <v>1</v>
      </c>
      <c r="F514" cm="1">
        <f t="array" aca="1" ref="F514" ca="1">INDIRECT(ADDRESS(myRAND(1,F$2,F$8:F$9)+5,F$1))</f>
        <v>1</v>
      </c>
      <c r="G514" cm="1">
        <f t="array" aca="1" ref="G514" ca="1">INDIRECT(ADDRESS(myRAND(1,G$2,G$8:G$9)+5,G$1))</f>
        <v>1</v>
      </c>
      <c r="H514" cm="1">
        <f t="array" aca="1" ref="H514" ca="1">INDIRECT(ADDRESS(myRAND(1,H$2,H$8:H$9)+5,H$1))</f>
        <v>1</v>
      </c>
      <c r="I514" cm="1">
        <f t="array" aca="1" ref="I514" ca="1">INDIRECT(ADDRESS(myRAND(1,I$2,I$8:I$9)+5,I$1))</f>
        <v>0</v>
      </c>
      <c r="J514">
        <f t="shared" ca="1" si="77"/>
        <v>18</v>
      </c>
      <c r="K514">
        <f t="shared" ca="1" si="77"/>
        <v>201</v>
      </c>
      <c r="L514" s="3">
        <f t="shared" ca="1" si="79"/>
        <v>3</v>
      </c>
      <c r="M514" s="13">
        <f t="shared" ca="1" si="80"/>
        <v>0.72111517802286307</v>
      </c>
      <c r="N514">
        <f t="shared" ca="1" si="81"/>
        <v>0.95</v>
      </c>
      <c r="O514">
        <f t="shared" ca="1" si="82"/>
        <v>0</v>
      </c>
      <c r="P514">
        <f t="shared" ca="1" si="83"/>
        <v>1</v>
      </c>
      <c r="Q514">
        <f t="shared" ca="1" si="84"/>
        <v>0</v>
      </c>
      <c r="R514">
        <f t="shared" ca="1" si="85"/>
        <v>0</v>
      </c>
      <c r="S514">
        <f t="shared" ca="1" si="86"/>
        <v>2</v>
      </c>
      <c r="T514" s="17">
        <f t="shared" ca="1" si="87"/>
        <v>3.000952380952381</v>
      </c>
    </row>
    <row r="515" spans="2:20" x14ac:dyDescent="0.3">
      <c r="B515">
        <f t="shared" ca="1" si="78"/>
        <v>52</v>
      </c>
      <c r="C515" cm="1">
        <f t="array" aca="1" ref="C515" ca="1">INDIRECT(ADDRESS(myRAND(1,C$2,C$8:C$9)+5,C$1))</f>
        <v>0</v>
      </c>
      <c r="D515" cm="1">
        <f t="array" aca="1" ref="D515" ca="1">INDIRECT(ADDRESS(myRAND(1,D$2,D$8:D$9)+5,D$1))</f>
        <v>0</v>
      </c>
      <c r="E515" cm="1">
        <f t="array" aca="1" ref="E515" ca="1">INDIRECT(ADDRESS(myRAND(1,E$2,E$8:E$9)+5,E$1))</f>
        <v>0</v>
      </c>
      <c r="F515" cm="1">
        <f t="array" aca="1" ref="F515" ca="1">INDIRECT(ADDRESS(myRAND(1,F$2,F$8:F$9)+5,F$1))</f>
        <v>1</v>
      </c>
      <c r="G515" cm="1">
        <f t="array" aca="1" ref="G515" ca="1">INDIRECT(ADDRESS(myRAND(1,G$2,G$8:G$9)+5,G$1))</f>
        <v>1</v>
      </c>
      <c r="H515" cm="1">
        <f t="array" aca="1" ref="H515" ca="1">INDIRECT(ADDRESS(myRAND(1,H$2,H$8:H$9)+5,H$1))</f>
        <v>1</v>
      </c>
      <c r="I515" cm="1">
        <f t="array" aca="1" ref="I515" ca="1">INDIRECT(ADDRESS(myRAND(1,I$2,I$8:I$9)+5,I$1))</f>
        <v>0</v>
      </c>
      <c r="J515">
        <f t="shared" ca="1" si="77"/>
        <v>18</v>
      </c>
      <c r="K515">
        <f t="shared" ca="1" si="77"/>
        <v>219</v>
      </c>
      <c r="L515" s="3">
        <f t="shared" ca="1" si="79"/>
        <v>1</v>
      </c>
      <c r="M515" s="13">
        <f t="shared" ca="1" si="80"/>
        <v>9.195454993100434E-2</v>
      </c>
      <c r="N515">
        <f t="shared" ca="1" si="81"/>
        <v>-2.29</v>
      </c>
      <c r="O515">
        <f t="shared" ca="1" si="82"/>
        <v>0</v>
      </c>
      <c r="P515">
        <f t="shared" ca="1" si="83"/>
        <v>0</v>
      </c>
      <c r="Q515">
        <f t="shared" ca="1" si="84"/>
        <v>1</v>
      </c>
      <c r="R515">
        <f t="shared" ca="1" si="85"/>
        <v>0</v>
      </c>
      <c r="S515">
        <f t="shared" ca="1" si="86"/>
        <v>2</v>
      </c>
      <c r="T515" s="17">
        <f t="shared" ca="1" si="87"/>
        <v>2.0866666666666669</v>
      </c>
    </row>
    <row r="516" spans="2:20" x14ac:dyDescent="0.3">
      <c r="B516">
        <f t="shared" ca="1" si="78"/>
        <v>39</v>
      </c>
      <c r="C516" cm="1">
        <f t="array" aca="1" ref="C516" ca="1">INDIRECT(ADDRESS(myRAND(1,C$2,C$8:C$9)+5,C$1))</f>
        <v>0</v>
      </c>
      <c r="D516" cm="1">
        <f t="array" aca="1" ref="D516" ca="1">INDIRECT(ADDRESS(myRAND(1,D$2,D$8:D$9)+5,D$1))</f>
        <v>1</v>
      </c>
      <c r="E516" cm="1">
        <f t="array" aca="1" ref="E516" ca="1">INDIRECT(ADDRESS(myRAND(1,E$2,E$8:E$9)+5,E$1))</f>
        <v>0</v>
      </c>
      <c r="F516" cm="1">
        <f t="array" aca="1" ref="F516" ca="1">INDIRECT(ADDRESS(myRAND(1,F$2,F$8:F$9)+5,F$1))</f>
        <v>0</v>
      </c>
      <c r="G516" cm="1">
        <f t="array" aca="1" ref="G516" ca="1">INDIRECT(ADDRESS(myRAND(1,G$2,G$8:G$9)+5,G$1))</f>
        <v>0</v>
      </c>
      <c r="H516" cm="1">
        <f t="array" aca="1" ref="H516" ca="1">INDIRECT(ADDRESS(myRAND(1,H$2,H$8:H$9)+5,H$1))</f>
        <v>0</v>
      </c>
      <c r="I516" cm="1">
        <f t="array" aca="1" ref="I516" ca="1">INDIRECT(ADDRESS(myRAND(1,I$2,I$8:I$9)+5,I$1))</f>
        <v>1</v>
      </c>
      <c r="J516">
        <f t="shared" ca="1" si="77"/>
        <v>20</v>
      </c>
      <c r="K516">
        <f t="shared" ca="1" si="77"/>
        <v>224</v>
      </c>
      <c r="L516" s="3">
        <f t="shared" ca="1" si="79"/>
        <v>1</v>
      </c>
      <c r="M516" s="13">
        <f t="shared" ca="1" si="80"/>
        <v>5.6786180808788486E-2</v>
      </c>
      <c r="N516">
        <f t="shared" ca="1" si="81"/>
        <v>-2.81</v>
      </c>
      <c r="O516">
        <f t="shared" ca="1" si="82"/>
        <v>0</v>
      </c>
      <c r="P516">
        <f t="shared" ca="1" si="83"/>
        <v>0</v>
      </c>
      <c r="Q516">
        <f t="shared" ca="1" si="84"/>
        <v>1</v>
      </c>
      <c r="R516">
        <f t="shared" ca="1" si="85"/>
        <v>0</v>
      </c>
      <c r="S516">
        <f t="shared" ca="1" si="86"/>
        <v>1</v>
      </c>
      <c r="T516" s="17">
        <f t="shared" ca="1" si="87"/>
        <v>5.1138095238095236</v>
      </c>
    </row>
    <row r="517" spans="2:20" x14ac:dyDescent="0.3">
      <c r="B517">
        <f t="shared" ca="1" si="78"/>
        <v>60</v>
      </c>
      <c r="C517" cm="1">
        <f t="array" aca="1" ref="C517" ca="1">INDIRECT(ADDRESS(myRAND(1,C$2,C$8:C$9)+5,C$1))</f>
        <v>0</v>
      </c>
      <c r="D517" cm="1">
        <f t="array" aca="1" ref="D517" ca="1">INDIRECT(ADDRESS(myRAND(1,D$2,D$8:D$9)+5,D$1))</f>
        <v>1</v>
      </c>
      <c r="E517" cm="1">
        <f t="array" aca="1" ref="E517" ca="1">INDIRECT(ADDRESS(myRAND(1,E$2,E$8:E$9)+5,E$1))</f>
        <v>0</v>
      </c>
      <c r="F517" cm="1">
        <f t="array" aca="1" ref="F517" ca="1">INDIRECT(ADDRESS(myRAND(1,F$2,F$8:F$9)+5,F$1))</f>
        <v>0</v>
      </c>
      <c r="G517" cm="1">
        <f t="array" aca="1" ref="G517" ca="1">INDIRECT(ADDRESS(myRAND(1,G$2,G$8:G$9)+5,G$1))</f>
        <v>0</v>
      </c>
      <c r="H517" cm="1">
        <f t="array" aca="1" ref="H517" ca="1">INDIRECT(ADDRESS(myRAND(1,H$2,H$8:H$9)+5,H$1))</f>
        <v>0</v>
      </c>
      <c r="I517" cm="1">
        <f t="array" aca="1" ref="I517" ca="1">INDIRECT(ADDRESS(myRAND(1,I$2,I$8:I$9)+5,I$1))</f>
        <v>1</v>
      </c>
      <c r="J517">
        <f t="shared" ca="1" si="77"/>
        <v>19</v>
      </c>
      <c r="K517">
        <f t="shared" ca="1" si="77"/>
        <v>176</v>
      </c>
      <c r="L517" s="3">
        <f t="shared" ca="1" si="79"/>
        <v>1</v>
      </c>
      <c r="M517" s="13">
        <f t="shared" ca="1" si="80"/>
        <v>0.12238888682304884</v>
      </c>
      <c r="N517">
        <f t="shared" ca="1" si="81"/>
        <v>-1.9700000000000002</v>
      </c>
      <c r="O517">
        <f t="shared" ca="1" si="82"/>
        <v>0</v>
      </c>
      <c r="P517">
        <f t="shared" ca="1" si="83"/>
        <v>0</v>
      </c>
      <c r="Q517">
        <f t="shared" ca="1" si="84"/>
        <v>1</v>
      </c>
      <c r="R517">
        <f t="shared" ca="1" si="85"/>
        <v>0</v>
      </c>
      <c r="S517">
        <f t="shared" ca="1" si="86"/>
        <v>1</v>
      </c>
      <c r="T517" s="17">
        <f t="shared" ca="1" si="87"/>
        <v>5.0285714285714285</v>
      </c>
    </row>
    <row r="518" spans="2:20" x14ac:dyDescent="0.3">
      <c r="B518">
        <f t="shared" ca="1" si="78"/>
        <v>23</v>
      </c>
      <c r="C518" cm="1">
        <f t="array" aca="1" ref="C518" ca="1">INDIRECT(ADDRESS(myRAND(1,C$2,C$8:C$9)+5,C$1))</f>
        <v>0</v>
      </c>
      <c r="D518" cm="1">
        <f t="array" aca="1" ref="D518" ca="1">INDIRECT(ADDRESS(myRAND(1,D$2,D$8:D$9)+5,D$1))</f>
        <v>0</v>
      </c>
      <c r="E518" cm="1">
        <f t="array" aca="1" ref="E518" ca="1">INDIRECT(ADDRESS(myRAND(1,E$2,E$8:E$9)+5,E$1))</f>
        <v>1</v>
      </c>
      <c r="F518" cm="1">
        <f t="array" aca="1" ref="F518" ca="1">INDIRECT(ADDRESS(myRAND(1,F$2,F$8:F$9)+5,F$1))</f>
        <v>1</v>
      </c>
      <c r="G518" cm="1">
        <f t="array" aca="1" ref="G518" ca="1">INDIRECT(ADDRESS(myRAND(1,G$2,G$8:G$9)+5,G$1))</f>
        <v>1</v>
      </c>
      <c r="H518" cm="1">
        <f t="array" aca="1" ref="H518" ca="1">INDIRECT(ADDRESS(myRAND(1,H$2,H$8:H$9)+5,H$1))</f>
        <v>0</v>
      </c>
      <c r="I518" cm="1">
        <f t="array" aca="1" ref="I518" ca="1">INDIRECT(ADDRESS(myRAND(1,I$2,I$8:I$9)+5,I$1))</f>
        <v>1</v>
      </c>
      <c r="J518">
        <f t="shared" ca="1" si="77"/>
        <v>12</v>
      </c>
      <c r="K518">
        <f t="shared" ca="1" si="77"/>
        <v>192</v>
      </c>
      <c r="L518" s="3">
        <f t="shared" ca="1" si="79"/>
        <v>2</v>
      </c>
      <c r="M518" s="13">
        <f t="shared" ca="1" si="80"/>
        <v>0.17508626816403977</v>
      </c>
      <c r="N518">
        <f t="shared" ca="1" si="81"/>
        <v>-1.5500000000000003</v>
      </c>
      <c r="O518">
        <f t="shared" ca="1" si="82"/>
        <v>0</v>
      </c>
      <c r="P518">
        <f t="shared" ca="1" si="83"/>
        <v>1</v>
      </c>
      <c r="Q518">
        <f t="shared" ca="1" si="84"/>
        <v>0</v>
      </c>
      <c r="R518">
        <f t="shared" ca="1" si="85"/>
        <v>0</v>
      </c>
      <c r="S518">
        <f t="shared" ca="1" si="86"/>
        <v>2</v>
      </c>
      <c r="T518" s="17">
        <f t="shared" ca="1" si="87"/>
        <v>4.2680952380952384</v>
      </c>
    </row>
    <row r="519" spans="2:20" x14ac:dyDescent="0.3">
      <c r="B519">
        <f t="shared" ca="1" si="78"/>
        <v>56</v>
      </c>
      <c r="C519" cm="1">
        <f t="array" aca="1" ref="C519" ca="1">INDIRECT(ADDRESS(myRAND(1,C$2,C$8:C$9)+5,C$1))</f>
        <v>0</v>
      </c>
      <c r="D519" cm="1">
        <f t="array" aca="1" ref="D519" ca="1">INDIRECT(ADDRESS(myRAND(1,D$2,D$8:D$9)+5,D$1))</f>
        <v>1</v>
      </c>
      <c r="E519" cm="1">
        <f t="array" aca="1" ref="E519" ca="1">INDIRECT(ADDRESS(myRAND(1,E$2,E$8:E$9)+5,E$1))</f>
        <v>0</v>
      </c>
      <c r="F519" cm="1">
        <f t="array" aca="1" ref="F519" ca="1">INDIRECT(ADDRESS(myRAND(1,F$2,F$8:F$9)+5,F$1))</f>
        <v>0</v>
      </c>
      <c r="G519" cm="1">
        <f t="array" aca="1" ref="G519" ca="1">INDIRECT(ADDRESS(myRAND(1,G$2,G$8:G$9)+5,G$1))</f>
        <v>1</v>
      </c>
      <c r="H519" cm="1">
        <f t="array" aca="1" ref="H519" ca="1">INDIRECT(ADDRESS(myRAND(1,H$2,H$8:H$9)+5,H$1))</f>
        <v>0</v>
      </c>
      <c r="I519" cm="1">
        <f t="array" aca="1" ref="I519" ca="1">INDIRECT(ADDRESS(myRAND(1,I$2,I$8:I$9)+5,I$1))</f>
        <v>0</v>
      </c>
      <c r="J519">
        <f t="shared" ca="1" si="77"/>
        <v>13</v>
      </c>
      <c r="K519">
        <f t="shared" ca="1" si="77"/>
        <v>213</v>
      </c>
      <c r="L519" s="3">
        <f t="shared" ca="1" si="79"/>
        <v>1</v>
      </c>
      <c r="M519" s="13">
        <f t="shared" ca="1" si="80"/>
        <v>0.10621499167517556</v>
      </c>
      <c r="N519">
        <f t="shared" ca="1" si="81"/>
        <v>-2.13</v>
      </c>
      <c r="O519">
        <f t="shared" ca="1" si="82"/>
        <v>0</v>
      </c>
      <c r="P519">
        <f t="shared" ca="1" si="83"/>
        <v>0</v>
      </c>
      <c r="Q519">
        <f t="shared" ca="1" si="84"/>
        <v>1</v>
      </c>
      <c r="R519">
        <f t="shared" ca="1" si="85"/>
        <v>0</v>
      </c>
      <c r="S519">
        <f t="shared" ca="1" si="86"/>
        <v>1</v>
      </c>
      <c r="T519" s="17">
        <f t="shared" ca="1" si="87"/>
        <v>1.7647619047619048</v>
      </c>
    </row>
    <row r="520" spans="2:20" x14ac:dyDescent="0.3">
      <c r="B520">
        <f t="shared" ca="1" si="78"/>
        <v>50</v>
      </c>
      <c r="C520" cm="1">
        <f t="array" aca="1" ref="C520" ca="1">INDIRECT(ADDRESS(myRAND(1,C$2,C$8:C$9)+5,C$1))</f>
        <v>0</v>
      </c>
      <c r="D520" cm="1">
        <f t="array" aca="1" ref="D520" ca="1">INDIRECT(ADDRESS(myRAND(1,D$2,D$8:D$9)+5,D$1))</f>
        <v>1</v>
      </c>
      <c r="E520" cm="1">
        <f t="array" aca="1" ref="E520" ca="1">INDIRECT(ADDRESS(myRAND(1,E$2,E$8:E$9)+5,E$1))</f>
        <v>0</v>
      </c>
      <c r="F520" cm="1">
        <f t="array" aca="1" ref="F520" ca="1">INDIRECT(ADDRESS(myRAND(1,F$2,F$8:F$9)+5,F$1))</f>
        <v>0</v>
      </c>
      <c r="G520" cm="1">
        <f t="array" aca="1" ref="G520" ca="1">INDIRECT(ADDRESS(myRAND(1,G$2,G$8:G$9)+5,G$1))</f>
        <v>1</v>
      </c>
      <c r="H520" cm="1">
        <f t="array" aca="1" ref="H520" ca="1">INDIRECT(ADDRESS(myRAND(1,H$2,H$8:H$9)+5,H$1))</f>
        <v>0</v>
      </c>
      <c r="I520" cm="1">
        <f t="array" aca="1" ref="I520" ca="1">INDIRECT(ADDRESS(myRAND(1,I$2,I$8:I$9)+5,I$1))</f>
        <v>0</v>
      </c>
      <c r="J520">
        <f t="shared" ca="1" si="77"/>
        <v>12</v>
      </c>
      <c r="K520">
        <f t="shared" ca="1" si="77"/>
        <v>222</v>
      </c>
      <c r="L520" s="3">
        <f t="shared" ca="1" si="79"/>
        <v>1</v>
      </c>
      <c r="M520" s="13">
        <f t="shared" ca="1" si="80"/>
        <v>8.5489139434806544E-2</v>
      </c>
      <c r="N520">
        <f t="shared" ca="1" si="81"/>
        <v>-2.37</v>
      </c>
      <c r="O520">
        <f t="shared" ca="1" si="82"/>
        <v>0</v>
      </c>
      <c r="P520">
        <f t="shared" ca="1" si="83"/>
        <v>0</v>
      </c>
      <c r="Q520">
        <f t="shared" ca="1" si="84"/>
        <v>1</v>
      </c>
      <c r="R520">
        <f t="shared" ca="1" si="85"/>
        <v>0</v>
      </c>
      <c r="S520">
        <f t="shared" ca="1" si="86"/>
        <v>1</v>
      </c>
      <c r="T520" s="17">
        <f t="shared" ca="1" si="87"/>
        <v>1.680952380952381</v>
      </c>
    </row>
    <row r="521" spans="2:20" x14ac:dyDescent="0.3">
      <c r="B521">
        <f t="shared" ca="1" si="78"/>
        <v>43</v>
      </c>
      <c r="C521" cm="1">
        <f t="array" aca="1" ref="C521" ca="1">INDIRECT(ADDRESS(myRAND(1,C$2,C$8:C$9)+5,C$1))</f>
        <v>1</v>
      </c>
      <c r="D521" cm="1">
        <f t="array" aca="1" ref="D521" ca="1">INDIRECT(ADDRESS(myRAND(1,D$2,D$8:D$9)+5,D$1))</f>
        <v>0</v>
      </c>
      <c r="E521" cm="1">
        <f t="array" aca="1" ref="E521" ca="1">INDIRECT(ADDRESS(myRAND(1,E$2,E$8:E$9)+5,E$1))</f>
        <v>0</v>
      </c>
      <c r="F521" cm="1">
        <f t="array" aca="1" ref="F521" ca="1">INDIRECT(ADDRESS(myRAND(1,F$2,F$8:F$9)+5,F$1))</f>
        <v>1</v>
      </c>
      <c r="G521" cm="1">
        <f t="array" aca="1" ref="G521" ca="1">INDIRECT(ADDRESS(myRAND(1,G$2,G$8:G$9)+5,G$1))</f>
        <v>1</v>
      </c>
      <c r="H521" cm="1">
        <f t="array" aca="1" ref="H521" ca="1">INDIRECT(ADDRESS(myRAND(1,H$2,H$8:H$9)+5,H$1))</f>
        <v>0</v>
      </c>
      <c r="I521" cm="1">
        <f t="array" aca="1" ref="I521" ca="1">INDIRECT(ADDRESS(myRAND(1,I$2,I$8:I$9)+5,I$1))</f>
        <v>0</v>
      </c>
      <c r="J521">
        <f t="shared" ca="1" si="77"/>
        <v>13</v>
      </c>
      <c r="K521">
        <f t="shared" ca="1" si="77"/>
        <v>230</v>
      </c>
      <c r="L521" s="3">
        <f t="shared" ca="1" si="79"/>
        <v>3</v>
      </c>
      <c r="M521" s="13">
        <f t="shared" ca="1" si="80"/>
        <v>0.21248684412253913</v>
      </c>
      <c r="N521">
        <f t="shared" ca="1" si="81"/>
        <v>-1.3100000000000003</v>
      </c>
      <c r="O521">
        <f t="shared" ca="1" si="82"/>
        <v>0</v>
      </c>
      <c r="P521">
        <f t="shared" ca="1" si="83"/>
        <v>0</v>
      </c>
      <c r="Q521">
        <f t="shared" ca="1" si="84"/>
        <v>1</v>
      </c>
      <c r="R521">
        <f t="shared" ca="1" si="85"/>
        <v>0</v>
      </c>
      <c r="S521">
        <f t="shared" ca="1" si="86"/>
        <v>1</v>
      </c>
      <c r="T521" s="17">
        <f t="shared" ca="1" si="87"/>
        <v>2.7157142857142857</v>
      </c>
    </row>
    <row r="522" spans="2:20" x14ac:dyDescent="0.3">
      <c r="B522">
        <f t="shared" ca="1" si="78"/>
        <v>53</v>
      </c>
      <c r="C522" cm="1">
        <f t="array" aca="1" ref="C522" ca="1">INDIRECT(ADDRESS(myRAND(1,C$2,C$8:C$9)+5,C$1))</f>
        <v>0</v>
      </c>
      <c r="D522" cm="1">
        <f t="array" aca="1" ref="D522" ca="1">INDIRECT(ADDRESS(myRAND(1,D$2,D$8:D$9)+5,D$1))</f>
        <v>1</v>
      </c>
      <c r="E522" cm="1">
        <f t="array" aca="1" ref="E522" ca="1">INDIRECT(ADDRESS(myRAND(1,E$2,E$8:E$9)+5,E$1))</f>
        <v>0</v>
      </c>
      <c r="F522" cm="1">
        <f t="array" aca="1" ref="F522" ca="1">INDIRECT(ADDRESS(myRAND(1,F$2,F$8:F$9)+5,F$1))</f>
        <v>1</v>
      </c>
      <c r="G522" cm="1">
        <f t="array" aca="1" ref="G522" ca="1">INDIRECT(ADDRESS(myRAND(1,G$2,G$8:G$9)+5,G$1))</f>
        <v>1</v>
      </c>
      <c r="H522" cm="1">
        <f t="array" aca="1" ref="H522" ca="1">INDIRECT(ADDRESS(myRAND(1,H$2,H$8:H$9)+5,H$1))</f>
        <v>0</v>
      </c>
      <c r="I522" cm="1">
        <f t="array" aca="1" ref="I522" ca="1">INDIRECT(ADDRESS(myRAND(1,I$2,I$8:I$9)+5,I$1))</f>
        <v>1</v>
      </c>
      <c r="J522">
        <f t="shared" ca="1" si="77"/>
        <v>13</v>
      </c>
      <c r="K522">
        <f t="shared" ca="1" si="77"/>
        <v>206</v>
      </c>
      <c r="L522" s="3">
        <f t="shared" ca="1" si="79"/>
        <v>3</v>
      </c>
      <c r="M522" s="13">
        <f t="shared" ca="1" si="80"/>
        <v>0.41338242108266998</v>
      </c>
      <c r="N522">
        <f t="shared" ca="1" si="81"/>
        <v>-0.35000000000000009</v>
      </c>
      <c r="O522">
        <f t="shared" ca="1" si="82"/>
        <v>0</v>
      </c>
      <c r="P522">
        <f t="shared" ca="1" si="83"/>
        <v>1</v>
      </c>
      <c r="Q522">
        <f t="shared" ca="1" si="84"/>
        <v>0</v>
      </c>
      <c r="R522">
        <f t="shared" ca="1" si="85"/>
        <v>0</v>
      </c>
      <c r="S522">
        <f t="shared" ca="1" si="86"/>
        <v>2</v>
      </c>
      <c r="T522" s="17">
        <f t="shared" ca="1" si="87"/>
        <v>4.701428571428572</v>
      </c>
    </row>
    <row r="523" spans="2:20" x14ac:dyDescent="0.3">
      <c r="B523">
        <f t="shared" ca="1" si="78"/>
        <v>47</v>
      </c>
      <c r="C523" cm="1">
        <f t="array" aca="1" ref="C523" ca="1">INDIRECT(ADDRESS(myRAND(1,C$2,C$8:C$9)+5,C$1))</f>
        <v>0</v>
      </c>
      <c r="D523" cm="1">
        <f t="array" aca="1" ref="D523" ca="1">INDIRECT(ADDRESS(myRAND(1,D$2,D$8:D$9)+5,D$1))</f>
        <v>0</v>
      </c>
      <c r="E523" cm="1">
        <f t="array" aca="1" ref="E523" ca="1">INDIRECT(ADDRESS(myRAND(1,E$2,E$8:E$9)+5,E$1))</f>
        <v>0</v>
      </c>
      <c r="F523" cm="1">
        <f t="array" aca="1" ref="F523" ca="1">INDIRECT(ADDRESS(myRAND(1,F$2,F$8:F$9)+5,F$1))</f>
        <v>1</v>
      </c>
      <c r="G523" cm="1">
        <f t="array" aca="1" ref="G523" ca="1">INDIRECT(ADDRESS(myRAND(1,G$2,G$8:G$9)+5,G$1))</f>
        <v>0</v>
      </c>
      <c r="H523" cm="1">
        <f t="array" aca="1" ref="H523" ca="1">INDIRECT(ADDRESS(myRAND(1,H$2,H$8:H$9)+5,H$1))</f>
        <v>0</v>
      </c>
      <c r="I523" cm="1">
        <f t="array" aca="1" ref="I523" ca="1">INDIRECT(ADDRESS(myRAND(1,I$2,I$8:I$9)+5,I$1))</f>
        <v>0</v>
      </c>
      <c r="J523">
        <f t="shared" ca="1" si="77"/>
        <v>10</v>
      </c>
      <c r="K523">
        <f t="shared" ca="1" si="77"/>
        <v>217</v>
      </c>
      <c r="L523" s="3">
        <f t="shared" ca="1" si="79"/>
        <v>1</v>
      </c>
      <c r="M523" s="13">
        <f t="shared" ca="1" si="80"/>
        <v>7.6562197351812147E-2</v>
      </c>
      <c r="N523">
        <f t="shared" ca="1" si="81"/>
        <v>-2.4900000000000002</v>
      </c>
      <c r="O523">
        <f t="shared" ca="1" si="82"/>
        <v>0</v>
      </c>
      <c r="P523">
        <f t="shared" ca="1" si="83"/>
        <v>0</v>
      </c>
      <c r="Q523">
        <f t="shared" ca="1" si="84"/>
        <v>1</v>
      </c>
      <c r="R523">
        <f t="shared" ca="1" si="85"/>
        <v>0</v>
      </c>
      <c r="S523">
        <f t="shared" ca="1" si="86"/>
        <v>0</v>
      </c>
      <c r="T523" s="17">
        <f t="shared" ca="1" si="87"/>
        <v>1.4938095238095239</v>
      </c>
    </row>
    <row r="524" spans="2:20" x14ac:dyDescent="0.3">
      <c r="B524">
        <f t="shared" ca="1" si="78"/>
        <v>50</v>
      </c>
      <c r="C524" cm="1">
        <f t="array" aca="1" ref="C524" ca="1">INDIRECT(ADDRESS(myRAND(1,C$2,C$8:C$9)+5,C$1))</f>
        <v>1</v>
      </c>
      <c r="D524" cm="1">
        <f t="array" aca="1" ref="D524" ca="1">INDIRECT(ADDRESS(myRAND(1,D$2,D$8:D$9)+5,D$1))</f>
        <v>1</v>
      </c>
      <c r="E524" cm="1">
        <f t="array" aca="1" ref="E524" ca="1">INDIRECT(ADDRESS(myRAND(1,E$2,E$8:E$9)+5,E$1))</f>
        <v>1</v>
      </c>
      <c r="F524" cm="1">
        <f t="array" aca="1" ref="F524" ca="1">INDIRECT(ADDRESS(myRAND(1,F$2,F$8:F$9)+5,F$1))</f>
        <v>0</v>
      </c>
      <c r="G524" cm="1">
        <f t="array" aca="1" ref="G524" ca="1">INDIRECT(ADDRESS(myRAND(1,G$2,G$8:G$9)+5,G$1))</f>
        <v>0</v>
      </c>
      <c r="H524" cm="1">
        <f t="array" aca="1" ref="H524" ca="1">INDIRECT(ADDRESS(myRAND(1,H$2,H$8:H$9)+5,H$1))</f>
        <v>0</v>
      </c>
      <c r="I524" cm="1">
        <f t="array" aca="1" ref="I524" ca="1">INDIRECT(ADDRESS(myRAND(1,I$2,I$8:I$9)+5,I$1))</f>
        <v>1</v>
      </c>
      <c r="J524">
        <f t="shared" ca="1" si="77"/>
        <v>14</v>
      </c>
      <c r="K524">
        <f t="shared" ca="1" si="77"/>
        <v>202</v>
      </c>
      <c r="L524" s="3">
        <f t="shared" ca="1" si="79"/>
        <v>3</v>
      </c>
      <c r="M524" s="13">
        <f t="shared" ca="1" si="80"/>
        <v>0.70474569799809106</v>
      </c>
      <c r="N524">
        <f t="shared" ca="1" si="81"/>
        <v>0.86999999999999988</v>
      </c>
      <c r="O524">
        <f t="shared" ca="1" si="82"/>
        <v>0</v>
      </c>
      <c r="P524">
        <f t="shared" ca="1" si="83"/>
        <v>1</v>
      </c>
      <c r="Q524">
        <f t="shared" ca="1" si="84"/>
        <v>0</v>
      </c>
      <c r="R524">
        <f t="shared" ca="1" si="85"/>
        <v>0</v>
      </c>
      <c r="S524">
        <f t="shared" ca="1" si="86"/>
        <v>1</v>
      </c>
      <c r="T524" s="17">
        <f t="shared" ca="1" si="87"/>
        <v>5.7190476190476192</v>
      </c>
    </row>
    <row r="525" spans="2:20" x14ac:dyDescent="0.3">
      <c r="B525">
        <f t="shared" ca="1" si="78"/>
        <v>45</v>
      </c>
      <c r="C525" cm="1">
        <f t="array" aca="1" ref="C525" ca="1">INDIRECT(ADDRESS(myRAND(1,C$2,C$8:C$9)+5,C$1))</f>
        <v>0</v>
      </c>
      <c r="D525" cm="1">
        <f t="array" aca="1" ref="D525" ca="1">INDIRECT(ADDRESS(myRAND(1,D$2,D$8:D$9)+5,D$1))</f>
        <v>0</v>
      </c>
      <c r="E525" cm="1">
        <f t="array" aca="1" ref="E525" ca="1">INDIRECT(ADDRESS(myRAND(1,E$2,E$8:E$9)+5,E$1))</f>
        <v>1</v>
      </c>
      <c r="F525" cm="1">
        <f t="array" aca="1" ref="F525" ca="1">INDIRECT(ADDRESS(myRAND(1,F$2,F$8:F$9)+5,F$1))</f>
        <v>1</v>
      </c>
      <c r="G525" cm="1">
        <f t="array" aca="1" ref="G525" ca="1">INDIRECT(ADDRESS(myRAND(1,G$2,G$8:G$9)+5,G$1))</f>
        <v>0</v>
      </c>
      <c r="H525" cm="1">
        <f t="array" aca="1" ref="H525" ca="1">INDIRECT(ADDRESS(myRAND(1,H$2,H$8:H$9)+5,H$1))</f>
        <v>0</v>
      </c>
      <c r="I525" cm="1">
        <f t="array" aca="1" ref="I525" ca="1">INDIRECT(ADDRESS(myRAND(1,I$2,I$8:I$9)+5,I$1))</f>
        <v>1</v>
      </c>
      <c r="J525">
        <f t="shared" ca="1" si="77"/>
        <v>17</v>
      </c>
      <c r="K525">
        <f t="shared" ca="1" si="77"/>
        <v>216</v>
      </c>
      <c r="L525" s="3">
        <f t="shared" ca="1" si="79"/>
        <v>3</v>
      </c>
      <c r="M525" s="13">
        <f t="shared" ca="1" si="80"/>
        <v>0.3384968407970475</v>
      </c>
      <c r="N525">
        <f t="shared" ca="1" si="81"/>
        <v>-0.67000000000000037</v>
      </c>
      <c r="O525">
        <f t="shared" ca="1" si="82"/>
        <v>0</v>
      </c>
      <c r="P525">
        <f t="shared" ca="1" si="83"/>
        <v>1</v>
      </c>
      <c r="Q525">
        <f t="shared" ca="1" si="84"/>
        <v>0</v>
      </c>
      <c r="R525">
        <f t="shared" ca="1" si="85"/>
        <v>0</v>
      </c>
      <c r="S525">
        <f t="shared" ca="1" si="86"/>
        <v>1</v>
      </c>
      <c r="T525" s="17">
        <f t="shared" ca="1" si="87"/>
        <v>4.9357142857142859</v>
      </c>
    </row>
    <row r="526" spans="2:20" x14ac:dyDescent="0.3">
      <c r="B526">
        <f t="shared" ca="1" si="78"/>
        <v>49</v>
      </c>
      <c r="C526" cm="1">
        <f t="array" aca="1" ref="C526" ca="1">INDIRECT(ADDRESS(myRAND(1,C$2,C$8:C$9)+5,C$1))</f>
        <v>0</v>
      </c>
      <c r="D526" cm="1">
        <f t="array" aca="1" ref="D526" ca="1">INDIRECT(ADDRESS(myRAND(1,D$2,D$8:D$9)+5,D$1))</f>
        <v>0</v>
      </c>
      <c r="E526" cm="1">
        <f t="array" aca="1" ref="E526" ca="1">INDIRECT(ADDRESS(myRAND(1,E$2,E$8:E$9)+5,E$1))</f>
        <v>0</v>
      </c>
      <c r="F526" cm="1">
        <f t="array" aca="1" ref="F526" ca="1">INDIRECT(ADDRESS(myRAND(1,F$2,F$8:F$9)+5,F$1))</f>
        <v>1</v>
      </c>
      <c r="G526" cm="1">
        <f t="array" aca="1" ref="G526" ca="1">INDIRECT(ADDRESS(myRAND(1,G$2,G$8:G$9)+5,G$1))</f>
        <v>0</v>
      </c>
      <c r="H526" cm="1">
        <f t="array" aca="1" ref="H526" ca="1">INDIRECT(ADDRESS(myRAND(1,H$2,H$8:H$9)+5,H$1))</f>
        <v>1</v>
      </c>
      <c r="I526" cm="1">
        <f t="array" aca="1" ref="I526" ca="1">INDIRECT(ADDRESS(myRAND(1,I$2,I$8:I$9)+5,I$1))</f>
        <v>0</v>
      </c>
      <c r="J526">
        <f t="shared" ca="1" si="77"/>
        <v>9</v>
      </c>
      <c r="K526">
        <f t="shared" ca="1" si="77"/>
        <v>216</v>
      </c>
      <c r="L526" s="3">
        <f t="shared" ca="1" si="79"/>
        <v>1</v>
      </c>
      <c r="M526" s="13">
        <f t="shared" ca="1" si="80"/>
        <v>8.2413318127912791E-2</v>
      </c>
      <c r="N526">
        <f t="shared" ca="1" si="81"/>
        <v>-2.41</v>
      </c>
      <c r="O526">
        <f t="shared" ca="1" si="82"/>
        <v>0</v>
      </c>
      <c r="P526">
        <f t="shared" ca="1" si="83"/>
        <v>0</v>
      </c>
      <c r="Q526">
        <f t="shared" ca="1" si="84"/>
        <v>1</v>
      </c>
      <c r="R526">
        <f t="shared" ca="1" si="85"/>
        <v>0</v>
      </c>
      <c r="S526">
        <f t="shared" ca="1" si="86"/>
        <v>1</v>
      </c>
      <c r="T526" s="17">
        <f t="shared" ca="1" si="87"/>
        <v>1.4423809523809523</v>
      </c>
    </row>
    <row r="527" spans="2:20" x14ac:dyDescent="0.3">
      <c r="B527">
        <f t="shared" ca="1" si="78"/>
        <v>59</v>
      </c>
      <c r="C527" cm="1">
        <f t="array" aca="1" ref="C527" ca="1">INDIRECT(ADDRESS(myRAND(1,C$2,C$8:C$9)+5,C$1))</f>
        <v>1</v>
      </c>
      <c r="D527" cm="1">
        <f t="array" aca="1" ref="D527" ca="1">INDIRECT(ADDRESS(myRAND(1,D$2,D$8:D$9)+5,D$1))</f>
        <v>1</v>
      </c>
      <c r="E527" cm="1">
        <f t="array" aca="1" ref="E527" ca="1">INDIRECT(ADDRESS(myRAND(1,E$2,E$8:E$9)+5,E$1))</f>
        <v>0</v>
      </c>
      <c r="F527" cm="1">
        <f t="array" aca="1" ref="F527" ca="1">INDIRECT(ADDRESS(myRAND(1,F$2,F$8:F$9)+5,F$1))</f>
        <v>1</v>
      </c>
      <c r="G527" cm="1">
        <f t="array" aca="1" ref="G527" ca="1">INDIRECT(ADDRESS(myRAND(1,G$2,G$8:G$9)+5,G$1))</f>
        <v>0</v>
      </c>
      <c r="H527" cm="1">
        <f t="array" aca="1" ref="H527" ca="1">INDIRECT(ADDRESS(myRAND(1,H$2,H$8:H$9)+5,H$1))</f>
        <v>1</v>
      </c>
      <c r="I527" cm="1">
        <f t="array" aca="1" ref="I527" ca="1">INDIRECT(ADDRESS(myRAND(1,I$2,I$8:I$9)+5,I$1))</f>
        <v>1</v>
      </c>
      <c r="J527">
        <f t="shared" ca="1" si="77"/>
        <v>17</v>
      </c>
      <c r="K527">
        <f t="shared" ca="1" si="77"/>
        <v>224</v>
      </c>
      <c r="L527" s="3">
        <f t="shared" ca="1" si="79"/>
        <v>3</v>
      </c>
      <c r="M527" s="13">
        <f t="shared" ca="1" si="80"/>
        <v>0.77381857426945377</v>
      </c>
      <c r="N527">
        <f t="shared" ca="1" si="81"/>
        <v>1.2299999999999998</v>
      </c>
      <c r="O527">
        <f t="shared" ca="1" si="82"/>
        <v>0</v>
      </c>
      <c r="P527">
        <f t="shared" ca="1" si="83"/>
        <v>1</v>
      </c>
      <c r="Q527">
        <f t="shared" ca="1" si="84"/>
        <v>0</v>
      </c>
      <c r="R527">
        <f t="shared" ca="1" si="85"/>
        <v>0</v>
      </c>
      <c r="S527">
        <f t="shared" ca="1" si="86"/>
        <v>2</v>
      </c>
      <c r="T527" s="17">
        <f t="shared" ca="1" si="87"/>
        <v>6.1138095238095236</v>
      </c>
    </row>
    <row r="528" spans="2:20" x14ac:dyDescent="0.3">
      <c r="B528">
        <f t="shared" ca="1" si="78"/>
        <v>49</v>
      </c>
      <c r="C528" cm="1">
        <f t="array" aca="1" ref="C528" ca="1">INDIRECT(ADDRESS(myRAND(1,C$2,C$8:C$9)+5,C$1))</f>
        <v>0</v>
      </c>
      <c r="D528" cm="1">
        <f t="array" aca="1" ref="D528" ca="1">INDIRECT(ADDRESS(myRAND(1,D$2,D$8:D$9)+5,D$1))</f>
        <v>0</v>
      </c>
      <c r="E528" cm="1">
        <f t="array" aca="1" ref="E528" ca="1">INDIRECT(ADDRESS(myRAND(1,E$2,E$8:E$9)+5,E$1))</f>
        <v>0</v>
      </c>
      <c r="F528" cm="1">
        <f t="array" aca="1" ref="F528" ca="1">INDIRECT(ADDRESS(myRAND(1,F$2,F$8:F$9)+5,F$1))</f>
        <v>1</v>
      </c>
      <c r="G528" cm="1">
        <f t="array" aca="1" ref="G528" ca="1">INDIRECT(ADDRESS(myRAND(1,G$2,G$8:G$9)+5,G$1))</f>
        <v>0</v>
      </c>
      <c r="H528" cm="1">
        <f t="array" aca="1" ref="H528" ca="1">INDIRECT(ADDRESS(myRAND(1,H$2,H$8:H$9)+5,H$1))</f>
        <v>0</v>
      </c>
      <c r="I528" cm="1">
        <f t="array" aca="1" ref="I528" ca="1">INDIRECT(ADDRESS(myRAND(1,I$2,I$8:I$9)+5,I$1))</f>
        <v>1</v>
      </c>
      <c r="J528">
        <f t="shared" ref="J528:K561" ca="1" si="88">IF(ROUND(NORMINV(RAND(),J$6,J$7),0)&lt;J$8,J$8,ROUND(NORMINV(RAND(),J$6,J$7),0))</f>
        <v>13</v>
      </c>
      <c r="K528">
        <f t="shared" ca="1" si="88"/>
        <v>219</v>
      </c>
      <c r="L528" s="3">
        <f t="shared" ca="1" si="79"/>
        <v>1</v>
      </c>
      <c r="M528" s="13">
        <f t="shared" ca="1" si="80"/>
        <v>8.2413318127912791E-2</v>
      </c>
      <c r="N528">
        <f t="shared" ca="1" si="81"/>
        <v>-2.41</v>
      </c>
      <c r="O528">
        <f t="shared" ca="1" si="82"/>
        <v>0</v>
      </c>
      <c r="P528">
        <f t="shared" ca="1" si="83"/>
        <v>0</v>
      </c>
      <c r="Q528">
        <f t="shared" ca="1" si="84"/>
        <v>1</v>
      </c>
      <c r="R528">
        <f t="shared" ca="1" si="85"/>
        <v>0</v>
      </c>
      <c r="S528">
        <f t="shared" ca="1" si="86"/>
        <v>1</v>
      </c>
      <c r="T528" s="17">
        <f t="shared" ca="1" si="87"/>
        <v>4.7233333333333336</v>
      </c>
    </row>
    <row r="529" spans="2:20" x14ac:dyDescent="0.3">
      <c r="B529">
        <f t="shared" ref="B529:B561" ca="1" si="89">IF(ROUND(NORMINV(RAND(),B$6,B$7),0)&lt;B$8,B$8,ROUND(NORMINV(RAND(),B$6,B$7),0))</f>
        <v>46</v>
      </c>
      <c r="C529" cm="1">
        <f t="array" aca="1" ref="C529" ca="1">INDIRECT(ADDRESS(myRAND(1,C$2,C$8:C$9)+5,C$1))</f>
        <v>0</v>
      </c>
      <c r="D529" cm="1">
        <f t="array" aca="1" ref="D529" ca="1">INDIRECT(ADDRESS(myRAND(1,D$2,D$8:D$9)+5,D$1))</f>
        <v>1</v>
      </c>
      <c r="E529" cm="1">
        <f t="array" aca="1" ref="E529" ca="1">INDIRECT(ADDRESS(myRAND(1,E$2,E$8:E$9)+5,E$1))</f>
        <v>1</v>
      </c>
      <c r="F529" cm="1">
        <f t="array" aca="1" ref="F529" ca="1">INDIRECT(ADDRESS(myRAND(1,F$2,F$8:F$9)+5,F$1))</f>
        <v>1</v>
      </c>
      <c r="G529" cm="1">
        <f t="array" aca="1" ref="G529" ca="1">INDIRECT(ADDRESS(myRAND(1,G$2,G$8:G$9)+5,G$1))</f>
        <v>0</v>
      </c>
      <c r="H529" cm="1">
        <f t="array" aca="1" ref="H529" ca="1">INDIRECT(ADDRESS(myRAND(1,H$2,H$8:H$9)+5,H$1))</f>
        <v>0</v>
      </c>
      <c r="I529" cm="1">
        <f t="array" aca="1" ref="I529" ca="1">INDIRECT(ADDRESS(myRAND(1,I$2,I$8:I$9)+5,I$1))</f>
        <v>0</v>
      </c>
      <c r="J529">
        <f t="shared" ca="1" si="88"/>
        <v>15</v>
      </c>
      <c r="K529">
        <f t="shared" ca="1" si="88"/>
        <v>186</v>
      </c>
      <c r="L529" s="3">
        <f t="shared" ref="L529:L561" ca="1" si="90">IF(R529=0,IF(M529&lt;$M$11,1,IF(M529&lt;M525,2,3)),IF(AND(T529&lt;$M$8,S529&lt;$M$9),1,3))</f>
        <v>1</v>
      </c>
      <c r="M529" s="13">
        <f t="shared" ref="M529:M561" ca="1" si="91">1/(1+EXP(-N529))</f>
        <v>0.1312444694385233</v>
      </c>
      <c r="N529">
        <f t="shared" ref="N529:N561" ca="1" si="92">-4.37+0.04*B529+1.34 *C529+1.9 * P529+  0.64 *O529</f>
        <v>-1.8900000000000001</v>
      </c>
      <c r="O529">
        <f t="shared" ref="O529:O561" ca="1" si="93">IF(SUM(D529:F529)=3,1,0)</f>
        <v>1</v>
      </c>
      <c r="P529">
        <f t="shared" ref="P529:P561" ca="1" si="94">IF(SUM(D529:F529)=2,1,0)</f>
        <v>0</v>
      </c>
      <c r="Q529">
        <f t="shared" ref="Q529:Q561" ca="1" si="95">IF(SUM(D529:F529)=1,1,0)</f>
        <v>0</v>
      </c>
      <c r="R529">
        <f t="shared" ref="R529:R561" ca="1" si="96">IF(SUM(D529:G529)=0,1,0)</f>
        <v>0</v>
      </c>
      <c r="S529">
        <f t="shared" ref="S529:S561" ca="1" si="97">SUM(G529:I529)</f>
        <v>0</v>
      </c>
      <c r="T529" s="17">
        <f t="shared" ref="T529:T561" ca="1" si="98">(B529-20)/100 *$T$5 + C529*$T$6+(K529-100)/$K$6*$T$7+J529/$J$6*$T$8+I529*$T$9</f>
        <v>1.6695238095238096</v>
      </c>
    </row>
    <row r="530" spans="2:20" x14ac:dyDescent="0.3">
      <c r="B530">
        <f t="shared" ca="1" si="89"/>
        <v>48</v>
      </c>
      <c r="C530" cm="1">
        <f t="array" aca="1" ref="C530" ca="1">INDIRECT(ADDRESS(myRAND(1,C$2,C$8:C$9)+5,C$1))</f>
        <v>0</v>
      </c>
      <c r="D530" cm="1">
        <f t="array" aca="1" ref="D530" ca="1">INDIRECT(ADDRESS(myRAND(1,D$2,D$8:D$9)+5,D$1))</f>
        <v>0</v>
      </c>
      <c r="E530" cm="1">
        <f t="array" aca="1" ref="E530" ca="1">INDIRECT(ADDRESS(myRAND(1,E$2,E$8:E$9)+5,E$1))</f>
        <v>0</v>
      </c>
      <c r="F530" cm="1">
        <f t="array" aca="1" ref="F530" ca="1">INDIRECT(ADDRESS(myRAND(1,F$2,F$8:F$9)+5,F$1))</f>
        <v>1</v>
      </c>
      <c r="G530" cm="1">
        <f t="array" aca="1" ref="G530" ca="1">INDIRECT(ADDRESS(myRAND(1,G$2,G$8:G$9)+5,G$1))</f>
        <v>0</v>
      </c>
      <c r="H530" cm="1">
        <f t="array" aca="1" ref="H530" ca="1">INDIRECT(ADDRESS(myRAND(1,H$2,H$8:H$9)+5,H$1))</f>
        <v>0</v>
      </c>
      <c r="I530" cm="1">
        <f t="array" aca="1" ref="I530" ca="1">INDIRECT(ADDRESS(myRAND(1,I$2,I$8:I$9)+5,I$1))</f>
        <v>1</v>
      </c>
      <c r="J530">
        <f t="shared" ca="1" si="88"/>
        <v>13</v>
      </c>
      <c r="K530">
        <f t="shared" ca="1" si="88"/>
        <v>224</v>
      </c>
      <c r="L530" s="3">
        <f t="shared" ca="1" si="90"/>
        <v>1</v>
      </c>
      <c r="M530" s="13">
        <f t="shared" ca="1" si="91"/>
        <v>7.9438549183978358E-2</v>
      </c>
      <c r="N530">
        <f t="shared" ca="1" si="92"/>
        <v>-2.4500000000000002</v>
      </c>
      <c r="O530">
        <f t="shared" ca="1" si="93"/>
        <v>0</v>
      </c>
      <c r="P530">
        <f t="shared" ca="1" si="94"/>
        <v>0</v>
      </c>
      <c r="Q530">
        <f t="shared" ca="1" si="95"/>
        <v>1</v>
      </c>
      <c r="R530">
        <f t="shared" ca="1" si="96"/>
        <v>0</v>
      </c>
      <c r="S530">
        <f t="shared" ca="1" si="97"/>
        <v>1</v>
      </c>
      <c r="T530" s="17">
        <f t="shared" ca="1" si="98"/>
        <v>4.7371428571428567</v>
      </c>
    </row>
    <row r="531" spans="2:20" x14ac:dyDescent="0.3">
      <c r="B531">
        <f t="shared" ca="1" si="89"/>
        <v>52</v>
      </c>
      <c r="C531" cm="1">
        <f t="array" aca="1" ref="C531" ca="1">INDIRECT(ADDRESS(myRAND(1,C$2,C$8:C$9)+5,C$1))</f>
        <v>1</v>
      </c>
      <c r="D531" cm="1">
        <f t="array" aca="1" ref="D531" ca="1">INDIRECT(ADDRESS(myRAND(1,D$2,D$8:D$9)+5,D$1))</f>
        <v>1</v>
      </c>
      <c r="E531" cm="1">
        <f t="array" aca="1" ref="E531" ca="1">INDIRECT(ADDRESS(myRAND(1,E$2,E$8:E$9)+5,E$1))</f>
        <v>1</v>
      </c>
      <c r="F531" cm="1">
        <f t="array" aca="1" ref="F531" ca="1">INDIRECT(ADDRESS(myRAND(1,F$2,F$8:F$9)+5,F$1))</f>
        <v>0</v>
      </c>
      <c r="G531" cm="1">
        <f t="array" aca="1" ref="G531" ca="1">INDIRECT(ADDRESS(myRAND(1,G$2,G$8:G$9)+5,G$1))</f>
        <v>1</v>
      </c>
      <c r="H531" cm="1">
        <f t="array" aca="1" ref="H531" ca="1">INDIRECT(ADDRESS(myRAND(1,H$2,H$8:H$9)+5,H$1))</f>
        <v>1</v>
      </c>
      <c r="I531" cm="1">
        <f t="array" aca="1" ref="I531" ca="1">INDIRECT(ADDRESS(myRAND(1,I$2,I$8:I$9)+5,I$1))</f>
        <v>1</v>
      </c>
      <c r="J531">
        <f t="shared" ca="1" si="88"/>
        <v>17</v>
      </c>
      <c r="K531">
        <f t="shared" ca="1" si="88"/>
        <v>214</v>
      </c>
      <c r="L531" s="3">
        <f t="shared" ca="1" si="90"/>
        <v>2</v>
      </c>
      <c r="M531" s="13">
        <f t="shared" ca="1" si="91"/>
        <v>0.72111517802286307</v>
      </c>
      <c r="N531">
        <f t="shared" ca="1" si="92"/>
        <v>0.95</v>
      </c>
      <c r="O531">
        <f t="shared" ca="1" si="93"/>
        <v>0</v>
      </c>
      <c r="P531">
        <f t="shared" ca="1" si="94"/>
        <v>1</v>
      </c>
      <c r="Q531">
        <f t="shared" ca="1" si="95"/>
        <v>0</v>
      </c>
      <c r="R531">
        <f t="shared" ca="1" si="96"/>
        <v>0</v>
      </c>
      <c r="S531">
        <f t="shared" ca="1" si="97"/>
        <v>3</v>
      </c>
      <c r="T531" s="17">
        <f t="shared" ca="1" si="98"/>
        <v>5.9961904761904758</v>
      </c>
    </row>
    <row r="532" spans="2:20" x14ac:dyDescent="0.3">
      <c r="B532">
        <f t="shared" ca="1" si="89"/>
        <v>29</v>
      </c>
      <c r="C532" cm="1">
        <f t="array" aca="1" ref="C532" ca="1">INDIRECT(ADDRESS(myRAND(1,C$2,C$8:C$9)+5,C$1))</f>
        <v>0</v>
      </c>
      <c r="D532" cm="1">
        <f t="array" aca="1" ref="D532" ca="1">INDIRECT(ADDRESS(myRAND(1,D$2,D$8:D$9)+5,D$1))</f>
        <v>1</v>
      </c>
      <c r="E532" cm="1">
        <f t="array" aca="1" ref="E532" ca="1">INDIRECT(ADDRESS(myRAND(1,E$2,E$8:E$9)+5,E$1))</f>
        <v>1</v>
      </c>
      <c r="F532" cm="1">
        <f t="array" aca="1" ref="F532" ca="1">INDIRECT(ADDRESS(myRAND(1,F$2,F$8:F$9)+5,F$1))</f>
        <v>0</v>
      </c>
      <c r="G532" cm="1">
        <f t="array" aca="1" ref="G532" ca="1">INDIRECT(ADDRESS(myRAND(1,G$2,G$8:G$9)+5,G$1))</f>
        <v>0</v>
      </c>
      <c r="H532" cm="1">
        <f t="array" aca="1" ref="H532" ca="1">INDIRECT(ADDRESS(myRAND(1,H$2,H$8:H$9)+5,H$1))</f>
        <v>0</v>
      </c>
      <c r="I532" cm="1">
        <f t="array" aca="1" ref="I532" ca="1">INDIRECT(ADDRESS(myRAND(1,I$2,I$8:I$9)+5,I$1))</f>
        <v>0</v>
      </c>
      <c r="J532">
        <f t="shared" ca="1" si="88"/>
        <v>16</v>
      </c>
      <c r="K532">
        <f t="shared" ca="1" si="88"/>
        <v>191</v>
      </c>
      <c r="L532" s="3">
        <f t="shared" ca="1" si="90"/>
        <v>3</v>
      </c>
      <c r="M532" s="13">
        <f t="shared" ca="1" si="91"/>
        <v>0.21248684412253915</v>
      </c>
      <c r="N532">
        <f t="shared" ca="1" si="92"/>
        <v>-1.31</v>
      </c>
      <c r="O532">
        <f t="shared" ca="1" si="93"/>
        <v>0</v>
      </c>
      <c r="P532">
        <f t="shared" ca="1" si="94"/>
        <v>1</v>
      </c>
      <c r="Q532">
        <f t="shared" ca="1" si="95"/>
        <v>0</v>
      </c>
      <c r="R532">
        <f t="shared" ca="1" si="96"/>
        <v>0</v>
      </c>
      <c r="S532">
        <f t="shared" ca="1" si="97"/>
        <v>0</v>
      </c>
      <c r="T532" s="17">
        <f t="shared" ca="1" si="98"/>
        <v>1.5899999999999999</v>
      </c>
    </row>
    <row r="533" spans="2:20" x14ac:dyDescent="0.3">
      <c r="B533">
        <f t="shared" ca="1" si="89"/>
        <v>50</v>
      </c>
      <c r="C533" cm="1">
        <f t="array" aca="1" ref="C533" ca="1">INDIRECT(ADDRESS(myRAND(1,C$2,C$8:C$9)+5,C$1))</f>
        <v>1</v>
      </c>
      <c r="D533" cm="1">
        <f t="array" aca="1" ref="D533" ca="1">INDIRECT(ADDRESS(myRAND(1,D$2,D$8:D$9)+5,D$1))</f>
        <v>1</v>
      </c>
      <c r="E533" cm="1">
        <f t="array" aca="1" ref="E533" ca="1">INDIRECT(ADDRESS(myRAND(1,E$2,E$8:E$9)+5,E$1))</f>
        <v>0</v>
      </c>
      <c r="F533" cm="1">
        <f t="array" aca="1" ref="F533" ca="1">INDIRECT(ADDRESS(myRAND(1,F$2,F$8:F$9)+5,F$1))</f>
        <v>0</v>
      </c>
      <c r="G533" cm="1">
        <f t="array" aca="1" ref="G533" ca="1">INDIRECT(ADDRESS(myRAND(1,G$2,G$8:G$9)+5,G$1))</f>
        <v>0</v>
      </c>
      <c r="H533" cm="1">
        <f t="array" aca="1" ref="H533" ca="1">INDIRECT(ADDRESS(myRAND(1,H$2,H$8:H$9)+5,H$1))</f>
        <v>1</v>
      </c>
      <c r="I533" cm="1">
        <f t="array" aca="1" ref="I533" ca="1">INDIRECT(ADDRESS(myRAND(1,I$2,I$8:I$9)+5,I$1))</f>
        <v>0</v>
      </c>
      <c r="J533">
        <f t="shared" ca="1" si="88"/>
        <v>18</v>
      </c>
      <c r="K533">
        <f t="shared" ca="1" si="88"/>
        <v>240</v>
      </c>
      <c r="L533" s="3">
        <f t="shared" ca="1" si="90"/>
        <v>3</v>
      </c>
      <c r="M533" s="13">
        <f t="shared" ca="1" si="91"/>
        <v>0.26308410416657979</v>
      </c>
      <c r="N533">
        <f t="shared" ca="1" si="92"/>
        <v>-1.03</v>
      </c>
      <c r="O533">
        <f t="shared" ca="1" si="93"/>
        <v>0</v>
      </c>
      <c r="P533">
        <f t="shared" ca="1" si="94"/>
        <v>0</v>
      </c>
      <c r="Q533">
        <f t="shared" ca="1" si="95"/>
        <v>1</v>
      </c>
      <c r="R533">
        <f t="shared" ca="1" si="96"/>
        <v>0</v>
      </c>
      <c r="S533">
        <f t="shared" ca="1" si="97"/>
        <v>1</v>
      </c>
      <c r="T533" s="17">
        <f t="shared" ca="1" si="98"/>
        <v>3.166666666666667</v>
      </c>
    </row>
    <row r="534" spans="2:20" x14ac:dyDescent="0.3">
      <c r="B534">
        <f t="shared" ca="1" si="89"/>
        <v>67</v>
      </c>
      <c r="C534" cm="1">
        <f t="array" aca="1" ref="C534" ca="1">INDIRECT(ADDRESS(myRAND(1,C$2,C$8:C$9)+5,C$1))</f>
        <v>0</v>
      </c>
      <c r="D534" cm="1">
        <f t="array" aca="1" ref="D534" ca="1">INDIRECT(ADDRESS(myRAND(1,D$2,D$8:D$9)+5,D$1))</f>
        <v>1</v>
      </c>
      <c r="E534" cm="1">
        <f t="array" aca="1" ref="E534" ca="1">INDIRECT(ADDRESS(myRAND(1,E$2,E$8:E$9)+5,E$1))</f>
        <v>0</v>
      </c>
      <c r="F534" cm="1">
        <f t="array" aca="1" ref="F534" ca="1">INDIRECT(ADDRESS(myRAND(1,F$2,F$8:F$9)+5,F$1))</f>
        <v>1</v>
      </c>
      <c r="G534" cm="1">
        <f t="array" aca="1" ref="G534" ca="1">INDIRECT(ADDRESS(myRAND(1,G$2,G$8:G$9)+5,G$1))</f>
        <v>1</v>
      </c>
      <c r="H534" cm="1">
        <f t="array" aca="1" ref="H534" ca="1">INDIRECT(ADDRESS(myRAND(1,H$2,H$8:H$9)+5,H$1))</f>
        <v>0</v>
      </c>
      <c r="I534" cm="1">
        <f t="array" aca="1" ref="I534" ca="1">INDIRECT(ADDRESS(myRAND(1,I$2,I$8:I$9)+5,I$1))</f>
        <v>0</v>
      </c>
      <c r="J534">
        <f t="shared" ca="1" si="88"/>
        <v>15</v>
      </c>
      <c r="K534">
        <f t="shared" ca="1" si="88"/>
        <v>209</v>
      </c>
      <c r="L534" s="3">
        <f t="shared" ca="1" si="90"/>
        <v>3</v>
      </c>
      <c r="M534" s="13">
        <f t="shared" ca="1" si="91"/>
        <v>0.5523079095743253</v>
      </c>
      <c r="N534">
        <f t="shared" ca="1" si="92"/>
        <v>0.20999999999999996</v>
      </c>
      <c r="O534">
        <f t="shared" ca="1" si="93"/>
        <v>0</v>
      </c>
      <c r="P534">
        <f t="shared" ca="1" si="94"/>
        <v>1</v>
      </c>
      <c r="Q534">
        <f t="shared" ca="1" si="95"/>
        <v>0</v>
      </c>
      <c r="R534">
        <f t="shared" ca="1" si="96"/>
        <v>0</v>
      </c>
      <c r="S534">
        <f t="shared" ca="1" si="97"/>
        <v>1</v>
      </c>
      <c r="T534" s="17">
        <f t="shared" ca="1" si="98"/>
        <v>1.9890476190476192</v>
      </c>
    </row>
    <row r="535" spans="2:20" x14ac:dyDescent="0.3">
      <c r="B535">
        <f t="shared" ca="1" si="89"/>
        <v>39</v>
      </c>
      <c r="C535" cm="1">
        <f t="array" aca="1" ref="C535" ca="1">INDIRECT(ADDRESS(myRAND(1,C$2,C$8:C$9)+5,C$1))</f>
        <v>0</v>
      </c>
      <c r="D535" cm="1">
        <f t="array" aca="1" ref="D535" ca="1">INDIRECT(ADDRESS(myRAND(1,D$2,D$8:D$9)+5,D$1))</f>
        <v>1</v>
      </c>
      <c r="E535" cm="1">
        <f t="array" aca="1" ref="E535" ca="1">INDIRECT(ADDRESS(myRAND(1,E$2,E$8:E$9)+5,E$1))</f>
        <v>1</v>
      </c>
      <c r="F535" cm="1">
        <f t="array" aca="1" ref="F535" ca="1">INDIRECT(ADDRESS(myRAND(1,F$2,F$8:F$9)+5,F$1))</f>
        <v>0</v>
      </c>
      <c r="G535" cm="1">
        <f t="array" aca="1" ref="G535" ca="1">INDIRECT(ADDRESS(myRAND(1,G$2,G$8:G$9)+5,G$1))</f>
        <v>1</v>
      </c>
      <c r="H535" cm="1">
        <f t="array" aca="1" ref="H535" ca="1">INDIRECT(ADDRESS(myRAND(1,H$2,H$8:H$9)+5,H$1))</f>
        <v>0</v>
      </c>
      <c r="I535" cm="1">
        <f t="array" aca="1" ref="I535" ca="1">INDIRECT(ADDRESS(myRAND(1,I$2,I$8:I$9)+5,I$1))</f>
        <v>1</v>
      </c>
      <c r="J535">
        <f t="shared" ca="1" si="88"/>
        <v>13</v>
      </c>
      <c r="K535">
        <f t="shared" ca="1" si="88"/>
        <v>183</v>
      </c>
      <c r="L535" s="3">
        <f t="shared" ca="1" si="90"/>
        <v>2</v>
      </c>
      <c r="M535" s="13">
        <f t="shared" ca="1" si="91"/>
        <v>0.28699983724771833</v>
      </c>
      <c r="N535">
        <f t="shared" ca="1" si="92"/>
        <v>-0.91000000000000014</v>
      </c>
      <c r="O535">
        <f t="shared" ca="1" si="93"/>
        <v>0</v>
      </c>
      <c r="P535">
        <f t="shared" ca="1" si="94"/>
        <v>1</v>
      </c>
      <c r="Q535">
        <f t="shared" ca="1" si="95"/>
        <v>0</v>
      </c>
      <c r="R535">
        <f t="shared" ca="1" si="96"/>
        <v>0</v>
      </c>
      <c r="S535">
        <f t="shared" ca="1" si="97"/>
        <v>2</v>
      </c>
      <c r="T535" s="17">
        <f t="shared" ca="1" si="98"/>
        <v>4.4519047619047623</v>
      </c>
    </row>
    <row r="536" spans="2:20" x14ac:dyDescent="0.3">
      <c r="B536">
        <f t="shared" ca="1" si="89"/>
        <v>39</v>
      </c>
      <c r="C536" cm="1">
        <f t="array" aca="1" ref="C536" ca="1">INDIRECT(ADDRESS(myRAND(1,C$2,C$8:C$9)+5,C$1))</f>
        <v>0</v>
      </c>
      <c r="D536" cm="1">
        <f t="array" aca="1" ref="D536" ca="1">INDIRECT(ADDRESS(myRAND(1,D$2,D$8:D$9)+5,D$1))</f>
        <v>1</v>
      </c>
      <c r="E536" cm="1">
        <f t="array" aca="1" ref="E536" ca="1">INDIRECT(ADDRESS(myRAND(1,E$2,E$8:E$9)+5,E$1))</f>
        <v>0</v>
      </c>
      <c r="F536" cm="1">
        <f t="array" aca="1" ref="F536" ca="1">INDIRECT(ADDRESS(myRAND(1,F$2,F$8:F$9)+5,F$1))</f>
        <v>1</v>
      </c>
      <c r="G536" cm="1">
        <f t="array" aca="1" ref="G536" ca="1">INDIRECT(ADDRESS(myRAND(1,G$2,G$8:G$9)+5,G$1))</f>
        <v>1</v>
      </c>
      <c r="H536" cm="1">
        <f t="array" aca="1" ref="H536" ca="1">INDIRECT(ADDRESS(myRAND(1,H$2,H$8:H$9)+5,H$1))</f>
        <v>0</v>
      </c>
      <c r="I536" cm="1">
        <f t="array" aca="1" ref="I536" ca="1">INDIRECT(ADDRESS(myRAND(1,I$2,I$8:I$9)+5,I$1))</f>
        <v>1</v>
      </c>
      <c r="J536">
        <f t="shared" ca="1" si="88"/>
        <v>19</v>
      </c>
      <c r="K536">
        <f t="shared" ca="1" si="88"/>
        <v>266</v>
      </c>
      <c r="L536" s="3">
        <f t="shared" ca="1" si="90"/>
        <v>3</v>
      </c>
      <c r="M536" s="13">
        <f t="shared" ca="1" si="91"/>
        <v>0.28699983724771833</v>
      </c>
      <c r="N536">
        <f t="shared" ca="1" si="92"/>
        <v>-0.91000000000000014</v>
      </c>
      <c r="O536">
        <f t="shared" ca="1" si="93"/>
        <v>0</v>
      </c>
      <c r="P536">
        <f t="shared" ca="1" si="94"/>
        <v>1</v>
      </c>
      <c r="Q536">
        <f t="shared" ca="1" si="95"/>
        <v>0</v>
      </c>
      <c r="R536">
        <f t="shared" ca="1" si="96"/>
        <v>0</v>
      </c>
      <c r="S536">
        <f t="shared" ca="1" si="97"/>
        <v>2</v>
      </c>
      <c r="T536" s="17">
        <f t="shared" ca="1" si="98"/>
        <v>5.2471428571428573</v>
      </c>
    </row>
    <row r="537" spans="2:20" x14ac:dyDescent="0.3">
      <c r="B537">
        <f t="shared" ca="1" si="89"/>
        <v>48</v>
      </c>
      <c r="C537" cm="1">
        <f t="array" aca="1" ref="C537" ca="1">INDIRECT(ADDRESS(myRAND(1,C$2,C$8:C$9)+5,C$1))</f>
        <v>0</v>
      </c>
      <c r="D537" cm="1">
        <f t="array" aca="1" ref="D537" ca="1">INDIRECT(ADDRESS(myRAND(1,D$2,D$8:D$9)+5,D$1))</f>
        <v>0</v>
      </c>
      <c r="E537" cm="1">
        <f t="array" aca="1" ref="E537" ca="1">INDIRECT(ADDRESS(myRAND(1,E$2,E$8:E$9)+5,E$1))</f>
        <v>0</v>
      </c>
      <c r="F537" cm="1">
        <f t="array" aca="1" ref="F537" ca="1">INDIRECT(ADDRESS(myRAND(1,F$2,F$8:F$9)+5,F$1))</f>
        <v>1</v>
      </c>
      <c r="G537" cm="1">
        <f t="array" aca="1" ref="G537" ca="1">INDIRECT(ADDRESS(myRAND(1,G$2,G$8:G$9)+5,G$1))</f>
        <v>1</v>
      </c>
      <c r="H537" cm="1">
        <f t="array" aca="1" ref="H537" ca="1">INDIRECT(ADDRESS(myRAND(1,H$2,H$8:H$9)+5,H$1))</f>
        <v>0</v>
      </c>
      <c r="I537" cm="1">
        <f t="array" aca="1" ref="I537" ca="1">INDIRECT(ADDRESS(myRAND(1,I$2,I$8:I$9)+5,I$1))</f>
        <v>0</v>
      </c>
      <c r="J537">
        <f t="shared" ca="1" si="88"/>
        <v>11</v>
      </c>
      <c r="K537">
        <f t="shared" ca="1" si="88"/>
        <v>212</v>
      </c>
      <c r="L537" s="3">
        <f t="shared" ca="1" si="90"/>
        <v>1</v>
      </c>
      <c r="M537" s="13">
        <f t="shared" ca="1" si="91"/>
        <v>7.9438549183978358E-2</v>
      </c>
      <c r="N537">
        <f t="shared" ca="1" si="92"/>
        <v>-2.4500000000000002</v>
      </c>
      <c r="O537">
        <f t="shared" ca="1" si="93"/>
        <v>0</v>
      </c>
      <c r="P537">
        <f t="shared" ca="1" si="94"/>
        <v>0</v>
      </c>
      <c r="Q537">
        <f t="shared" ca="1" si="95"/>
        <v>1</v>
      </c>
      <c r="R537">
        <f t="shared" ca="1" si="96"/>
        <v>0</v>
      </c>
      <c r="S537">
        <f t="shared" ca="1" si="97"/>
        <v>1</v>
      </c>
      <c r="T537" s="17">
        <f t="shared" ca="1" si="98"/>
        <v>1.5466666666666666</v>
      </c>
    </row>
    <row r="538" spans="2:20" x14ac:dyDescent="0.3">
      <c r="B538">
        <f t="shared" ca="1" si="89"/>
        <v>57</v>
      </c>
      <c r="C538" cm="1">
        <f t="array" aca="1" ref="C538" ca="1">INDIRECT(ADDRESS(myRAND(1,C$2,C$8:C$9)+5,C$1))</f>
        <v>0</v>
      </c>
      <c r="D538" cm="1">
        <f t="array" aca="1" ref="D538" ca="1">INDIRECT(ADDRESS(myRAND(1,D$2,D$8:D$9)+5,D$1))</f>
        <v>1</v>
      </c>
      <c r="E538" cm="1">
        <f t="array" aca="1" ref="E538" ca="1">INDIRECT(ADDRESS(myRAND(1,E$2,E$8:E$9)+5,E$1))</f>
        <v>0</v>
      </c>
      <c r="F538" cm="1">
        <f t="array" aca="1" ref="F538" ca="1">INDIRECT(ADDRESS(myRAND(1,F$2,F$8:F$9)+5,F$1))</f>
        <v>0</v>
      </c>
      <c r="G538" cm="1">
        <f t="array" aca="1" ref="G538" ca="1">INDIRECT(ADDRESS(myRAND(1,G$2,G$8:G$9)+5,G$1))</f>
        <v>0</v>
      </c>
      <c r="H538" cm="1">
        <f t="array" aca="1" ref="H538" ca="1">INDIRECT(ADDRESS(myRAND(1,H$2,H$8:H$9)+5,H$1))</f>
        <v>0</v>
      </c>
      <c r="I538" cm="1">
        <f t="array" aca="1" ref="I538" ca="1">INDIRECT(ADDRESS(myRAND(1,I$2,I$8:I$9)+5,I$1))</f>
        <v>1</v>
      </c>
      <c r="J538">
        <f t="shared" ca="1" si="88"/>
        <v>17</v>
      </c>
      <c r="K538">
        <f t="shared" ca="1" si="88"/>
        <v>205</v>
      </c>
      <c r="L538" s="3">
        <f t="shared" ca="1" si="90"/>
        <v>1</v>
      </c>
      <c r="M538" s="13">
        <f t="shared" ca="1" si="91"/>
        <v>0.11007257436250302</v>
      </c>
      <c r="N538">
        <f t="shared" ca="1" si="92"/>
        <v>-2.09</v>
      </c>
      <c r="O538">
        <f t="shared" ca="1" si="93"/>
        <v>0</v>
      </c>
      <c r="P538">
        <f t="shared" ca="1" si="94"/>
        <v>0</v>
      </c>
      <c r="Q538">
        <f t="shared" ca="1" si="95"/>
        <v>1</v>
      </c>
      <c r="R538">
        <f t="shared" ca="1" si="96"/>
        <v>0</v>
      </c>
      <c r="S538">
        <f t="shared" ca="1" si="97"/>
        <v>1</v>
      </c>
      <c r="T538" s="17">
        <f t="shared" ca="1" si="98"/>
        <v>5.0033333333333339</v>
      </c>
    </row>
    <row r="539" spans="2:20" x14ac:dyDescent="0.3">
      <c r="B539">
        <f t="shared" ca="1" si="89"/>
        <v>47</v>
      </c>
      <c r="C539" cm="1">
        <f t="array" aca="1" ref="C539" ca="1">INDIRECT(ADDRESS(myRAND(1,C$2,C$8:C$9)+5,C$1))</f>
        <v>1</v>
      </c>
      <c r="D539" cm="1">
        <f t="array" aca="1" ref="D539" ca="1">INDIRECT(ADDRESS(myRAND(1,D$2,D$8:D$9)+5,D$1))</f>
        <v>1</v>
      </c>
      <c r="E539" cm="1">
        <f t="array" aca="1" ref="E539" ca="1">INDIRECT(ADDRESS(myRAND(1,E$2,E$8:E$9)+5,E$1))</f>
        <v>1</v>
      </c>
      <c r="F539" cm="1">
        <f t="array" aca="1" ref="F539" ca="1">INDIRECT(ADDRESS(myRAND(1,F$2,F$8:F$9)+5,F$1))</f>
        <v>1</v>
      </c>
      <c r="G539" cm="1">
        <f t="array" aca="1" ref="G539" ca="1">INDIRECT(ADDRESS(myRAND(1,G$2,G$8:G$9)+5,G$1))</f>
        <v>0</v>
      </c>
      <c r="H539" cm="1">
        <f t="array" aca="1" ref="H539" ca="1">INDIRECT(ADDRESS(myRAND(1,H$2,H$8:H$9)+5,H$1))</f>
        <v>0</v>
      </c>
      <c r="I539" cm="1">
        <f t="array" aca="1" ref="I539" ca="1">INDIRECT(ADDRESS(myRAND(1,I$2,I$8:I$9)+5,I$1))</f>
        <v>1</v>
      </c>
      <c r="J539">
        <f t="shared" ca="1" si="88"/>
        <v>20</v>
      </c>
      <c r="K539">
        <f t="shared" ca="1" si="88"/>
        <v>193</v>
      </c>
      <c r="L539" s="3">
        <f t="shared" ca="1" si="90"/>
        <v>3</v>
      </c>
      <c r="M539" s="13">
        <f t="shared" ca="1" si="91"/>
        <v>0.3751935255315707</v>
      </c>
      <c r="N539">
        <f t="shared" ca="1" si="92"/>
        <v>-0.51000000000000012</v>
      </c>
      <c r="O539">
        <f t="shared" ca="1" si="93"/>
        <v>1</v>
      </c>
      <c r="P539">
        <f t="shared" ca="1" si="94"/>
        <v>0</v>
      </c>
      <c r="Q539">
        <f t="shared" ca="1" si="95"/>
        <v>0</v>
      </c>
      <c r="R539">
        <f t="shared" ca="1" si="96"/>
        <v>0</v>
      </c>
      <c r="S539">
        <f t="shared" ca="1" si="97"/>
        <v>1</v>
      </c>
      <c r="T539" s="17">
        <f t="shared" ca="1" si="98"/>
        <v>6.0461904761904766</v>
      </c>
    </row>
    <row r="540" spans="2:20" x14ac:dyDescent="0.3">
      <c r="B540">
        <f t="shared" ca="1" si="89"/>
        <v>48</v>
      </c>
      <c r="C540" cm="1">
        <f t="array" aca="1" ref="C540" ca="1">INDIRECT(ADDRESS(myRAND(1,C$2,C$8:C$9)+5,C$1))</f>
        <v>0</v>
      </c>
      <c r="D540" cm="1">
        <f t="array" aca="1" ref="D540" ca="1">INDIRECT(ADDRESS(myRAND(1,D$2,D$8:D$9)+5,D$1))</f>
        <v>0</v>
      </c>
      <c r="E540" cm="1">
        <f t="array" aca="1" ref="E540" ca="1">INDIRECT(ADDRESS(myRAND(1,E$2,E$8:E$9)+5,E$1))</f>
        <v>1</v>
      </c>
      <c r="F540" cm="1">
        <f t="array" aca="1" ref="F540" ca="1">INDIRECT(ADDRESS(myRAND(1,F$2,F$8:F$9)+5,F$1))</f>
        <v>1</v>
      </c>
      <c r="G540" cm="1">
        <f t="array" aca="1" ref="G540" ca="1">INDIRECT(ADDRESS(myRAND(1,G$2,G$8:G$9)+5,G$1))</f>
        <v>0</v>
      </c>
      <c r="H540" cm="1">
        <f t="array" aca="1" ref="H540" ca="1">INDIRECT(ADDRESS(myRAND(1,H$2,H$8:H$9)+5,H$1))</f>
        <v>0</v>
      </c>
      <c r="I540" cm="1">
        <f t="array" aca="1" ref="I540" ca="1">INDIRECT(ADDRESS(myRAND(1,I$2,I$8:I$9)+5,I$1))</f>
        <v>0</v>
      </c>
      <c r="J540">
        <f t="shared" ca="1" si="88"/>
        <v>13</v>
      </c>
      <c r="K540">
        <f t="shared" ca="1" si="88"/>
        <v>204</v>
      </c>
      <c r="L540" s="3">
        <f t="shared" ca="1" si="90"/>
        <v>3</v>
      </c>
      <c r="M540" s="13">
        <f t="shared" ca="1" si="91"/>
        <v>0.3658644089891992</v>
      </c>
      <c r="N540">
        <f t="shared" ca="1" si="92"/>
        <v>-0.55000000000000027</v>
      </c>
      <c r="O540">
        <f t="shared" ca="1" si="93"/>
        <v>0</v>
      </c>
      <c r="P540">
        <f t="shared" ca="1" si="94"/>
        <v>1</v>
      </c>
      <c r="Q540">
        <f t="shared" ca="1" si="95"/>
        <v>0</v>
      </c>
      <c r="R540">
        <f t="shared" ca="1" si="96"/>
        <v>0</v>
      </c>
      <c r="S540">
        <f t="shared" ca="1" si="97"/>
        <v>0</v>
      </c>
      <c r="T540" s="17">
        <f t="shared" ca="1" si="98"/>
        <v>1.641904761904762</v>
      </c>
    </row>
    <row r="541" spans="2:20" x14ac:dyDescent="0.3">
      <c r="B541">
        <f t="shared" ca="1" si="89"/>
        <v>71</v>
      </c>
      <c r="C541" cm="1">
        <f t="array" aca="1" ref="C541" ca="1">INDIRECT(ADDRESS(myRAND(1,C$2,C$8:C$9)+5,C$1))</f>
        <v>1</v>
      </c>
      <c r="D541" cm="1">
        <f t="array" aca="1" ref="D541" ca="1">INDIRECT(ADDRESS(myRAND(1,D$2,D$8:D$9)+5,D$1))</f>
        <v>0</v>
      </c>
      <c r="E541" cm="1">
        <f t="array" aca="1" ref="E541" ca="1">INDIRECT(ADDRESS(myRAND(1,E$2,E$8:E$9)+5,E$1))</f>
        <v>0</v>
      </c>
      <c r="F541" cm="1">
        <f t="array" aca="1" ref="F541" ca="1">INDIRECT(ADDRESS(myRAND(1,F$2,F$8:F$9)+5,F$1))</f>
        <v>0</v>
      </c>
      <c r="G541" cm="1">
        <f t="array" aca="1" ref="G541" ca="1">INDIRECT(ADDRESS(myRAND(1,G$2,G$8:G$9)+5,G$1))</f>
        <v>1</v>
      </c>
      <c r="H541" cm="1">
        <f t="array" aca="1" ref="H541" ca="1">INDIRECT(ADDRESS(myRAND(1,H$2,H$8:H$9)+5,H$1))</f>
        <v>0</v>
      </c>
      <c r="I541" cm="1">
        <f t="array" aca="1" ref="I541" ca="1">INDIRECT(ADDRESS(myRAND(1,I$2,I$8:I$9)+5,I$1))</f>
        <v>1</v>
      </c>
      <c r="J541">
        <f t="shared" ca="1" si="88"/>
        <v>10</v>
      </c>
      <c r="K541">
        <f t="shared" ca="1" si="88"/>
        <v>249</v>
      </c>
      <c r="L541" s="3">
        <f t="shared" ca="1" si="90"/>
        <v>3</v>
      </c>
      <c r="M541" s="13">
        <f t="shared" ca="1" si="91"/>
        <v>0.45264238185691075</v>
      </c>
      <c r="N541">
        <f t="shared" ca="1" si="92"/>
        <v>-0.19000000000000017</v>
      </c>
      <c r="O541">
        <f t="shared" ca="1" si="93"/>
        <v>0</v>
      </c>
      <c r="P541">
        <f t="shared" ca="1" si="94"/>
        <v>0</v>
      </c>
      <c r="Q541">
        <f t="shared" ca="1" si="95"/>
        <v>0</v>
      </c>
      <c r="R541">
        <f t="shared" ca="1" si="96"/>
        <v>0</v>
      </c>
      <c r="S541">
        <f t="shared" ca="1" si="97"/>
        <v>2</v>
      </c>
      <c r="T541" s="17">
        <f t="shared" ca="1" si="98"/>
        <v>5.8861904761904764</v>
      </c>
    </row>
    <row r="542" spans="2:20" x14ac:dyDescent="0.3">
      <c r="B542">
        <f t="shared" ca="1" si="89"/>
        <v>56</v>
      </c>
      <c r="C542" cm="1">
        <f t="array" aca="1" ref="C542" ca="1">INDIRECT(ADDRESS(myRAND(1,C$2,C$8:C$9)+5,C$1))</f>
        <v>0</v>
      </c>
      <c r="D542" cm="1">
        <f t="array" aca="1" ref="D542" ca="1">INDIRECT(ADDRESS(myRAND(1,D$2,D$8:D$9)+5,D$1))</f>
        <v>1</v>
      </c>
      <c r="E542" cm="1">
        <f t="array" aca="1" ref="E542" ca="1">INDIRECT(ADDRESS(myRAND(1,E$2,E$8:E$9)+5,E$1))</f>
        <v>0</v>
      </c>
      <c r="F542" cm="1">
        <f t="array" aca="1" ref="F542" ca="1">INDIRECT(ADDRESS(myRAND(1,F$2,F$8:F$9)+5,F$1))</f>
        <v>1</v>
      </c>
      <c r="G542" cm="1">
        <f t="array" aca="1" ref="G542" ca="1">INDIRECT(ADDRESS(myRAND(1,G$2,G$8:G$9)+5,G$1))</f>
        <v>0</v>
      </c>
      <c r="H542" cm="1">
        <f t="array" aca="1" ref="H542" ca="1">INDIRECT(ADDRESS(myRAND(1,H$2,H$8:H$9)+5,H$1))</f>
        <v>0</v>
      </c>
      <c r="I542" cm="1">
        <f t="array" aca="1" ref="I542" ca="1">INDIRECT(ADDRESS(myRAND(1,I$2,I$8:I$9)+5,I$1))</f>
        <v>0</v>
      </c>
      <c r="J542">
        <f t="shared" ca="1" si="88"/>
        <v>16</v>
      </c>
      <c r="K542">
        <f t="shared" ca="1" si="88"/>
        <v>228</v>
      </c>
      <c r="L542" s="3">
        <f t="shared" ca="1" si="90"/>
        <v>3</v>
      </c>
      <c r="M542" s="13">
        <f t="shared" ca="1" si="91"/>
        <v>0.44275214540144436</v>
      </c>
      <c r="N542">
        <f t="shared" ca="1" si="92"/>
        <v>-0.22999999999999998</v>
      </c>
      <c r="O542">
        <f t="shared" ca="1" si="93"/>
        <v>0</v>
      </c>
      <c r="P542">
        <f t="shared" ca="1" si="94"/>
        <v>1</v>
      </c>
      <c r="Q542">
        <f t="shared" ca="1" si="95"/>
        <v>0</v>
      </c>
      <c r="R542">
        <f t="shared" ca="1" si="96"/>
        <v>0</v>
      </c>
      <c r="S542">
        <f t="shared" ca="1" si="97"/>
        <v>0</v>
      </c>
      <c r="T542" s="17">
        <f t="shared" ca="1" si="98"/>
        <v>2.0361904761904763</v>
      </c>
    </row>
    <row r="543" spans="2:20" x14ac:dyDescent="0.3">
      <c r="B543">
        <f t="shared" ca="1" si="89"/>
        <v>57</v>
      </c>
      <c r="C543" cm="1">
        <f t="array" aca="1" ref="C543" ca="1">INDIRECT(ADDRESS(myRAND(1,C$2,C$8:C$9)+5,C$1))</f>
        <v>1</v>
      </c>
      <c r="D543" cm="1">
        <f t="array" aca="1" ref="D543" ca="1">INDIRECT(ADDRESS(myRAND(1,D$2,D$8:D$9)+5,D$1))</f>
        <v>1</v>
      </c>
      <c r="E543" cm="1">
        <f t="array" aca="1" ref="E543" ca="1">INDIRECT(ADDRESS(myRAND(1,E$2,E$8:E$9)+5,E$1))</f>
        <v>1</v>
      </c>
      <c r="F543" cm="1">
        <f t="array" aca="1" ref="F543" ca="1">INDIRECT(ADDRESS(myRAND(1,F$2,F$8:F$9)+5,F$1))</f>
        <v>0</v>
      </c>
      <c r="G543" cm="1">
        <f t="array" aca="1" ref="G543" ca="1">INDIRECT(ADDRESS(myRAND(1,G$2,G$8:G$9)+5,G$1))</f>
        <v>0</v>
      </c>
      <c r="H543" cm="1">
        <f t="array" aca="1" ref="H543" ca="1">INDIRECT(ADDRESS(myRAND(1,H$2,H$8:H$9)+5,H$1))</f>
        <v>0</v>
      </c>
      <c r="I543" cm="1">
        <f t="array" aca="1" ref="I543" ca="1">INDIRECT(ADDRESS(myRAND(1,I$2,I$8:I$9)+5,I$1))</f>
        <v>0</v>
      </c>
      <c r="J543">
        <f t="shared" ca="1" si="88"/>
        <v>20</v>
      </c>
      <c r="K543">
        <f t="shared" ca="1" si="88"/>
        <v>213</v>
      </c>
      <c r="L543" s="3">
        <f t="shared" ca="1" si="90"/>
        <v>3</v>
      </c>
      <c r="M543" s="13">
        <f t="shared" ca="1" si="91"/>
        <v>0.75951091694911099</v>
      </c>
      <c r="N543">
        <f t="shared" ca="1" si="92"/>
        <v>1.1500000000000001</v>
      </c>
      <c r="O543">
        <f t="shared" ca="1" si="93"/>
        <v>0</v>
      </c>
      <c r="P543">
        <f t="shared" ca="1" si="94"/>
        <v>1</v>
      </c>
      <c r="Q543">
        <f t="shared" ca="1" si="95"/>
        <v>0</v>
      </c>
      <c r="R543">
        <f t="shared" ca="1" si="96"/>
        <v>0</v>
      </c>
      <c r="S543">
        <f t="shared" ca="1" si="97"/>
        <v>0</v>
      </c>
      <c r="T543" s="17">
        <f t="shared" ca="1" si="98"/>
        <v>3.2414285714285711</v>
      </c>
    </row>
    <row r="544" spans="2:20" x14ac:dyDescent="0.3">
      <c r="B544">
        <f t="shared" ca="1" si="89"/>
        <v>37</v>
      </c>
      <c r="C544" cm="1">
        <f t="array" aca="1" ref="C544" ca="1">INDIRECT(ADDRESS(myRAND(1,C$2,C$8:C$9)+5,C$1))</f>
        <v>1</v>
      </c>
      <c r="D544" cm="1">
        <f t="array" aca="1" ref="D544" ca="1">INDIRECT(ADDRESS(myRAND(1,D$2,D$8:D$9)+5,D$1))</f>
        <v>1</v>
      </c>
      <c r="E544" cm="1">
        <f t="array" aca="1" ref="E544" ca="1">INDIRECT(ADDRESS(myRAND(1,E$2,E$8:E$9)+5,E$1))</f>
        <v>1</v>
      </c>
      <c r="F544" cm="1">
        <f t="array" aca="1" ref="F544" ca="1">INDIRECT(ADDRESS(myRAND(1,F$2,F$8:F$9)+5,F$1))</f>
        <v>0</v>
      </c>
      <c r="G544" cm="1">
        <f t="array" aca="1" ref="G544" ca="1">INDIRECT(ADDRESS(myRAND(1,G$2,G$8:G$9)+5,G$1))</f>
        <v>0</v>
      </c>
      <c r="H544" cm="1">
        <f t="array" aca="1" ref="H544" ca="1">INDIRECT(ADDRESS(myRAND(1,H$2,H$8:H$9)+5,H$1))</f>
        <v>0</v>
      </c>
      <c r="I544" cm="1">
        <f t="array" aca="1" ref="I544" ca="1">INDIRECT(ADDRESS(myRAND(1,I$2,I$8:I$9)+5,I$1))</f>
        <v>1</v>
      </c>
      <c r="J544">
        <f t="shared" ca="1" si="88"/>
        <v>11</v>
      </c>
      <c r="K544">
        <f t="shared" ca="1" si="88"/>
        <v>179</v>
      </c>
      <c r="L544" s="3">
        <f t="shared" ca="1" si="90"/>
        <v>3</v>
      </c>
      <c r="M544" s="13">
        <f t="shared" ca="1" si="91"/>
        <v>0.58661757891733002</v>
      </c>
      <c r="N544">
        <f t="shared" ca="1" si="92"/>
        <v>0.34999999999999987</v>
      </c>
      <c r="O544">
        <f t="shared" ca="1" si="93"/>
        <v>0</v>
      </c>
      <c r="P544">
        <f t="shared" ca="1" si="94"/>
        <v>1</v>
      </c>
      <c r="Q544">
        <f t="shared" ca="1" si="95"/>
        <v>0</v>
      </c>
      <c r="R544">
        <f t="shared" ca="1" si="96"/>
        <v>0</v>
      </c>
      <c r="S544">
        <f t="shared" ca="1" si="97"/>
        <v>1</v>
      </c>
      <c r="T544" s="17">
        <f t="shared" ca="1" si="98"/>
        <v>5.2795238095238091</v>
      </c>
    </row>
    <row r="545" spans="2:20" x14ac:dyDescent="0.3">
      <c r="B545">
        <f t="shared" ca="1" si="89"/>
        <v>43</v>
      </c>
      <c r="C545" cm="1">
        <f t="array" aca="1" ref="C545" ca="1">INDIRECT(ADDRESS(myRAND(1,C$2,C$8:C$9)+5,C$1))</f>
        <v>1</v>
      </c>
      <c r="D545" cm="1">
        <f t="array" aca="1" ref="D545" ca="1">INDIRECT(ADDRESS(myRAND(1,D$2,D$8:D$9)+5,D$1))</f>
        <v>1</v>
      </c>
      <c r="E545" cm="1">
        <f t="array" aca="1" ref="E545" ca="1">INDIRECT(ADDRESS(myRAND(1,E$2,E$8:E$9)+5,E$1))</f>
        <v>0</v>
      </c>
      <c r="F545" cm="1">
        <f t="array" aca="1" ref="F545" ca="1">INDIRECT(ADDRESS(myRAND(1,F$2,F$8:F$9)+5,F$1))</f>
        <v>0</v>
      </c>
      <c r="G545" cm="1">
        <f t="array" aca="1" ref="G545" ca="1">INDIRECT(ADDRESS(myRAND(1,G$2,G$8:G$9)+5,G$1))</f>
        <v>0</v>
      </c>
      <c r="H545" cm="1">
        <f t="array" aca="1" ref="H545" ca="1">INDIRECT(ADDRESS(myRAND(1,H$2,H$8:H$9)+5,H$1))</f>
        <v>0</v>
      </c>
      <c r="I545" cm="1">
        <f t="array" aca="1" ref="I545" ca="1">INDIRECT(ADDRESS(myRAND(1,I$2,I$8:I$9)+5,I$1))</f>
        <v>1</v>
      </c>
      <c r="J545">
        <f t="shared" ca="1" si="88"/>
        <v>15</v>
      </c>
      <c r="K545">
        <f t="shared" ca="1" si="88"/>
        <v>204</v>
      </c>
      <c r="L545" s="3">
        <f t="shared" ca="1" si="90"/>
        <v>2</v>
      </c>
      <c r="M545" s="13">
        <f t="shared" ca="1" si="91"/>
        <v>0.21248684412253913</v>
      </c>
      <c r="N545">
        <f t="shared" ca="1" si="92"/>
        <v>-1.3100000000000003</v>
      </c>
      <c r="O545">
        <f t="shared" ca="1" si="93"/>
        <v>0</v>
      </c>
      <c r="P545">
        <f t="shared" ca="1" si="94"/>
        <v>0</v>
      </c>
      <c r="Q545">
        <f t="shared" ca="1" si="95"/>
        <v>1</v>
      </c>
      <c r="R545">
        <f t="shared" ca="1" si="96"/>
        <v>0</v>
      </c>
      <c r="S545">
        <f t="shared" ca="1" si="97"/>
        <v>1</v>
      </c>
      <c r="T545" s="17">
        <f t="shared" ca="1" si="98"/>
        <v>5.7252380952380957</v>
      </c>
    </row>
    <row r="546" spans="2:20" x14ac:dyDescent="0.3">
      <c r="B546">
        <f t="shared" ca="1" si="89"/>
        <v>38</v>
      </c>
      <c r="C546" cm="1">
        <f t="array" aca="1" ref="C546" ca="1">INDIRECT(ADDRESS(myRAND(1,C$2,C$8:C$9)+5,C$1))</f>
        <v>1</v>
      </c>
      <c r="D546" cm="1">
        <f t="array" aca="1" ref="D546" ca="1">INDIRECT(ADDRESS(myRAND(1,D$2,D$8:D$9)+5,D$1))</f>
        <v>0</v>
      </c>
      <c r="E546" cm="1">
        <f t="array" aca="1" ref="E546" ca="1">INDIRECT(ADDRESS(myRAND(1,E$2,E$8:E$9)+5,E$1))</f>
        <v>1</v>
      </c>
      <c r="F546" cm="1">
        <f t="array" aca="1" ref="F546" ca="1">INDIRECT(ADDRESS(myRAND(1,F$2,F$8:F$9)+5,F$1))</f>
        <v>0</v>
      </c>
      <c r="G546" cm="1">
        <f t="array" aca="1" ref="G546" ca="1">INDIRECT(ADDRESS(myRAND(1,G$2,G$8:G$9)+5,G$1))</f>
        <v>0</v>
      </c>
      <c r="H546" cm="1">
        <f t="array" aca="1" ref="H546" ca="1">INDIRECT(ADDRESS(myRAND(1,H$2,H$8:H$9)+5,H$1))</f>
        <v>0</v>
      </c>
      <c r="I546" cm="1">
        <f t="array" aca="1" ref="I546" ca="1">INDIRECT(ADDRESS(myRAND(1,I$2,I$8:I$9)+5,I$1))</f>
        <v>0</v>
      </c>
      <c r="J546">
        <f t="shared" ca="1" si="88"/>
        <v>19</v>
      </c>
      <c r="K546">
        <f t="shared" ca="1" si="88"/>
        <v>217</v>
      </c>
      <c r="L546" s="3">
        <f t="shared" ca="1" si="90"/>
        <v>2</v>
      </c>
      <c r="M546" s="13">
        <f t="shared" ca="1" si="91"/>
        <v>0.18093879315214201</v>
      </c>
      <c r="N546">
        <f t="shared" ca="1" si="92"/>
        <v>-1.51</v>
      </c>
      <c r="O546">
        <f t="shared" ca="1" si="93"/>
        <v>0</v>
      </c>
      <c r="P546">
        <f t="shared" ca="1" si="94"/>
        <v>0</v>
      </c>
      <c r="Q546">
        <f t="shared" ca="1" si="95"/>
        <v>1</v>
      </c>
      <c r="R546">
        <f t="shared" ca="1" si="96"/>
        <v>0</v>
      </c>
      <c r="S546">
        <f t="shared" ca="1" si="97"/>
        <v>0</v>
      </c>
      <c r="T546" s="17">
        <f t="shared" ca="1" si="98"/>
        <v>3.0038095238095237</v>
      </c>
    </row>
    <row r="547" spans="2:20" x14ac:dyDescent="0.3">
      <c r="B547">
        <f t="shared" ca="1" si="89"/>
        <v>56</v>
      </c>
      <c r="C547" cm="1">
        <f t="array" aca="1" ref="C547" ca="1">INDIRECT(ADDRESS(myRAND(1,C$2,C$8:C$9)+5,C$1))</f>
        <v>1</v>
      </c>
      <c r="D547" cm="1">
        <f t="array" aca="1" ref="D547" ca="1">INDIRECT(ADDRESS(myRAND(1,D$2,D$8:D$9)+5,D$1))</f>
        <v>0</v>
      </c>
      <c r="E547" cm="1">
        <f t="array" aca="1" ref="E547" ca="1">INDIRECT(ADDRESS(myRAND(1,E$2,E$8:E$9)+5,E$1))</f>
        <v>1</v>
      </c>
      <c r="F547" cm="1">
        <f t="array" aca="1" ref="F547" ca="1">INDIRECT(ADDRESS(myRAND(1,F$2,F$8:F$9)+5,F$1))</f>
        <v>0</v>
      </c>
      <c r="G547" cm="1">
        <f t="array" aca="1" ref="G547" ca="1">INDIRECT(ADDRESS(myRAND(1,G$2,G$8:G$9)+5,G$1))</f>
        <v>1</v>
      </c>
      <c r="H547" cm="1">
        <f t="array" aca="1" ref="H547" ca="1">INDIRECT(ADDRESS(myRAND(1,H$2,H$8:H$9)+5,H$1))</f>
        <v>1</v>
      </c>
      <c r="I547" cm="1">
        <f t="array" aca="1" ref="I547" ca="1">INDIRECT(ADDRESS(myRAND(1,I$2,I$8:I$9)+5,I$1))</f>
        <v>1</v>
      </c>
      <c r="J547">
        <f t="shared" ca="1" si="88"/>
        <v>16</v>
      </c>
      <c r="K547">
        <f t="shared" ca="1" si="88"/>
        <v>250</v>
      </c>
      <c r="L547" s="3">
        <f t="shared" ca="1" si="90"/>
        <v>2</v>
      </c>
      <c r="M547" s="13">
        <f t="shared" ca="1" si="91"/>
        <v>0.31216866941715965</v>
      </c>
      <c r="N547">
        <f t="shared" ca="1" si="92"/>
        <v>-0.78999999999999981</v>
      </c>
      <c r="O547">
        <f t="shared" ca="1" si="93"/>
        <v>0</v>
      </c>
      <c r="P547">
        <f t="shared" ca="1" si="94"/>
        <v>0</v>
      </c>
      <c r="Q547">
        <f t="shared" ca="1" si="95"/>
        <v>1</v>
      </c>
      <c r="R547">
        <f t="shared" ca="1" si="96"/>
        <v>0</v>
      </c>
      <c r="S547">
        <f t="shared" ca="1" si="97"/>
        <v>3</v>
      </c>
      <c r="T547" s="17">
        <f t="shared" ca="1" si="98"/>
        <v>6.1409523809523812</v>
      </c>
    </row>
    <row r="548" spans="2:20" x14ac:dyDescent="0.3">
      <c r="B548">
        <f t="shared" ca="1" si="89"/>
        <v>52</v>
      </c>
      <c r="C548" cm="1">
        <f t="array" aca="1" ref="C548" ca="1">INDIRECT(ADDRESS(myRAND(1,C$2,C$8:C$9)+5,C$1))</f>
        <v>1</v>
      </c>
      <c r="D548" cm="1">
        <f t="array" aca="1" ref="D548" ca="1">INDIRECT(ADDRESS(myRAND(1,D$2,D$8:D$9)+5,D$1))</f>
        <v>0</v>
      </c>
      <c r="E548" cm="1">
        <f t="array" aca="1" ref="E548" ca="1">INDIRECT(ADDRESS(myRAND(1,E$2,E$8:E$9)+5,E$1))</f>
        <v>0</v>
      </c>
      <c r="F548" cm="1">
        <f t="array" aca="1" ref="F548" ca="1">INDIRECT(ADDRESS(myRAND(1,F$2,F$8:F$9)+5,F$1))</f>
        <v>1</v>
      </c>
      <c r="G548" cm="1">
        <f t="array" aca="1" ref="G548" ca="1">INDIRECT(ADDRESS(myRAND(1,G$2,G$8:G$9)+5,G$1))</f>
        <v>0</v>
      </c>
      <c r="H548" cm="1">
        <f t="array" aca="1" ref="H548" ca="1">INDIRECT(ADDRESS(myRAND(1,H$2,H$8:H$9)+5,H$1))</f>
        <v>0</v>
      </c>
      <c r="I548" cm="1">
        <f t="array" aca="1" ref="I548" ca="1">INDIRECT(ADDRESS(myRAND(1,I$2,I$8:I$9)+5,I$1))</f>
        <v>1</v>
      </c>
      <c r="J548">
        <f t="shared" ca="1" si="88"/>
        <v>13</v>
      </c>
      <c r="K548">
        <f t="shared" ca="1" si="88"/>
        <v>210</v>
      </c>
      <c r="L548" s="3">
        <f t="shared" ca="1" si="90"/>
        <v>2</v>
      </c>
      <c r="M548" s="13">
        <f t="shared" ca="1" si="91"/>
        <v>0.27888482197713693</v>
      </c>
      <c r="N548">
        <f t="shared" ca="1" si="92"/>
        <v>-0.95</v>
      </c>
      <c r="O548">
        <f t="shared" ca="1" si="93"/>
        <v>0</v>
      </c>
      <c r="P548">
        <f t="shared" ca="1" si="94"/>
        <v>0</v>
      </c>
      <c r="Q548">
        <f t="shared" ca="1" si="95"/>
        <v>1</v>
      </c>
      <c r="R548">
        <f t="shared" ca="1" si="96"/>
        <v>0</v>
      </c>
      <c r="S548">
        <f t="shared" ca="1" si="97"/>
        <v>1</v>
      </c>
      <c r="T548" s="17">
        <f t="shared" ca="1" si="98"/>
        <v>5.7104761904761911</v>
      </c>
    </row>
    <row r="549" spans="2:20" x14ac:dyDescent="0.3">
      <c r="B549">
        <f t="shared" ca="1" si="89"/>
        <v>60</v>
      </c>
      <c r="C549" cm="1">
        <f t="array" aca="1" ref="C549" ca="1">INDIRECT(ADDRESS(myRAND(1,C$2,C$8:C$9)+5,C$1))</f>
        <v>1</v>
      </c>
      <c r="D549" cm="1">
        <f t="array" aca="1" ref="D549" ca="1">INDIRECT(ADDRESS(myRAND(1,D$2,D$8:D$9)+5,D$1))</f>
        <v>1</v>
      </c>
      <c r="E549" cm="1">
        <f t="array" aca="1" ref="E549" ca="1">INDIRECT(ADDRESS(myRAND(1,E$2,E$8:E$9)+5,E$1))</f>
        <v>1</v>
      </c>
      <c r="F549" cm="1">
        <f t="array" aca="1" ref="F549" ca="1">INDIRECT(ADDRESS(myRAND(1,F$2,F$8:F$9)+5,F$1))</f>
        <v>1</v>
      </c>
      <c r="G549" cm="1">
        <f t="array" aca="1" ref="G549" ca="1">INDIRECT(ADDRESS(myRAND(1,G$2,G$8:G$9)+5,G$1))</f>
        <v>0</v>
      </c>
      <c r="H549" cm="1">
        <f t="array" aca="1" ref="H549" ca="1">INDIRECT(ADDRESS(myRAND(1,H$2,H$8:H$9)+5,H$1))</f>
        <v>1</v>
      </c>
      <c r="I549" cm="1">
        <f t="array" aca="1" ref="I549" ca="1">INDIRECT(ADDRESS(myRAND(1,I$2,I$8:I$9)+5,I$1))</f>
        <v>0</v>
      </c>
      <c r="J549">
        <f t="shared" ca="1" si="88"/>
        <v>15</v>
      </c>
      <c r="K549">
        <f t="shared" ca="1" si="88"/>
        <v>173</v>
      </c>
      <c r="L549" s="3">
        <f t="shared" ca="1" si="90"/>
        <v>3</v>
      </c>
      <c r="M549" s="13">
        <f t="shared" ca="1" si="91"/>
        <v>0.50249997916687494</v>
      </c>
      <c r="N549">
        <f t="shared" ca="1" si="92"/>
        <v>9.9999999999998979E-3</v>
      </c>
      <c r="O549">
        <f t="shared" ca="1" si="93"/>
        <v>1</v>
      </c>
      <c r="P549">
        <f t="shared" ca="1" si="94"/>
        <v>0</v>
      </c>
      <c r="Q549">
        <f t="shared" ca="1" si="95"/>
        <v>0</v>
      </c>
      <c r="R549">
        <f t="shared" ca="1" si="96"/>
        <v>0</v>
      </c>
      <c r="S549">
        <f t="shared" ca="1" si="97"/>
        <v>1</v>
      </c>
      <c r="T549" s="17">
        <f t="shared" ca="1" si="98"/>
        <v>2.7476190476190476</v>
      </c>
    </row>
    <row r="550" spans="2:20" x14ac:dyDescent="0.3">
      <c r="B550">
        <f t="shared" ca="1" si="89"/>
        <v>38</v>
      </c>
      <c r="C550" cm="1">
        <f t="array" aca="1" ref="C550" ca="1">INDIRECT(ADDRESS(myRAND(1,C$2,C$8:C$9)+5,C$1))</f>
        <v>0</v>
      </c>
      <c r="D550" cm="1">
        <f t="array" aca="1" ref="D550" ca="1">INDIRECT(ADDRESS(myRAND(1,D$2,D$8:D$9)+5,D$1))</f>
        <v>1</v>
      </c>
      <c r="E550" cm="1">
        <f t="array" aca="1" ref="E550" ca="1">INDIRECT(ADDRESS(myRAND(1,E$2,E$8:E$9)+5,E$1))</f>
        <v>0</v>
      </c>
      <c r="F550" cm="1">
        <f t="array" aca="1" ref="F550" ca="1">INDIRECT(ADDRESS(myRAND(1,F$2,F$8:F$9)+5,F$1))</f>
        <v>1</v>
      </c>
      <c r="G550" cm="1">
        <f t="array" aca="1" ref="G550" ca="1">INDIRECT(ADDRESS(myRAND(1,G$2,G$8:G$9)+5,G$1))</f>
        <v>0</v>
      </c>
      <c r="H550" cm="1">
        <f t="array" aca="1" ref="H550" ca="1">INDIRECT(ADDRESS(myRAND(1,H$2,H$8:H$9)+5,H$1))</f>
        <v>0</v>
      </c>
      <c r="I550" cm="1">
        <f t="array" aca="1" ref="I550" ca="1">INDIRECT(ADDRESS(myRAND(1,I$2,I$8:I$9)+5,I$1))</f>
        <v>0</v>
      </c>
      <c r="J550">
        <f t="shared" ca="1" si="88"/>
        <v>17</v>
      </c>
      <c r="K550">
        <f t="shared" ca="1" si="88"/>
        <v>232</v>
      </c>
      <c r="L550" s="3">
        <f t="shared" ca="1" si="90"/>
        <v>3</v>
      </c>
      <c r="M550" s="13">
        <f t="shared" ca="1" si="91"/>
        <v>0.27888482197713688</v>
      </c>
      <c r="N550">
        <f t="shared" ca="1" si="92"/>
        <v>-0.95000000000000018</v>
      </c>
      <c r="O550">
        <f t="shared" ca="1" si="93"/>
        <v>0</v>
      </c>
      <c r="P550">
        <f t="shared" ca="1" si="94"/>
        <v>1</v>
      </c>
      <c r="Q550">
        <f t="shared" ca="1" si="95"/>
        <v>0</v>
      </c>
      <c r="R550">
        <f t="shared" ca="1" si="96"/>
        <v>0</v>
      </c>
      <c r="S550">
        <f t="shared" ca="1" si="97"/>
        <v>0</v>
      </c>
      <c r="T550" s="17">
        <f t="shared" ca="1" si="98"/>
        <v>1.9419047619047618</v>
      </c>
    </row>
    <row r="551" spans="2:20" x14ac:dyDescent="0.3">
      <c r="B551">
        <f t="shared" ca="1" si="89"/>
        <v>50</v>
      </c>
      <c r="C551" cm="1">
        <f t="array" aca="1" ref="C551" ca="1">INDIRECT(ADDRESS(myRAND(1,C$2,C$8:C$9)+5,C$1))</f>
        <v>0</v>
      </c>
      <c r="D551" cm="1">
        <f t="array" aca="1" ref="D551" ca="1">INDIRECT(ADDRESS(myRAND(1,D$2,D$8:D$9)+5,D$1))</f>
        <v>0</v>
      </c>
      <c r="E551" cm="1">
        <f t="array" aca="1" ref="E551" ca="1">INDIRECT(ADDRESS(myRAND(1,E$2,E$8:E$9)+5,E$1))</f>
        <v>0</v>
      </c>
      <c r="F551" cm="1">
        <f t="array" aca="1" ref="F551" ca="1">INDIRECT(ADDRESS(myRAND(1,F$2,F$8:F$9)+5,F$1))</f>
        <v>1</v>
      </c>
      <c r="G551" cm="1">
        <f t="array" aca="1" ref="G551" ca="1">INDIRECT(ADDRESS(myRAND(1,G$2,G$8:G$9)+5,G$1))</f>
        <v>1</v>
      </c>
      <c r="H551" cm="1">
        <f t="array" aca="1" ref="H551" ca="1">INDIRECT(ADDRESS(myRAND(1,H$2,H$8:H$9)+5,H$1))</f>
        <v>1</v>
      </c>
      <c r="I551" cm="1">
        <f t="array" aca="1" ref="I551" ca="1">INDIRECT(ADDRESS(myRAND(1,I$2,I$8:I$9)+5,I$1))</f>
        <v>1</v>
      </c>
      <c r="J551">
        <f t="shared" ca="1" si="88"/>
        <v>21</v>
      </c>
      <c r="K551">
        <f t="shared" ca="1" si="88"/>
        <v>176</v>
      </c>
      <c r="L551" s="3">
        <f t="shared" ca="1" si="90"/>
        <v>1</v>
      </c>
      <c r="M551" s="13">
        <f t="shared" ca="1" si="91"/>
        <v>8.5489139434806544E-2</v>
      </c>
      <c r="N551">
        <f t="shared" ca="1" si="92"/>
        <v>-2.37</v>
      </c>
      <c r="O551">
        <f t="shared" ca="1" si="93"/>
        <v>0</v>
      </c>
      <c r="P551">
        <f t="shared" ca="1" si="94"/>
        <v>0</v>
      </c>
      <c r="Q551">
        <f t="shared" ca="1" si="95"/>
        <v>1</v>
      </c>
      <c r="R551">
        <f t="shared" ca="1" si="96"/>
        <v>0</v>
      </c>
      <c r="S551">
        <f t="shared" ca="1" si="97"/>
        <v>3</v>
      </c>
      <c r="T551" s="17">
        <f t="shared" ca="1" si="98"/>
        <v>5.0619047619047617</v>
      </c>
    </row>
    <row r="552" spans="2:20" x14ac:dyDescent="0.3">
      <c r="B552">
        <f t="shared" ca="1" si="89"/>
        <v>41</v>
      </c>
      <c r="C552" cm="1">
        <f t="array" aca="1" ref="C552" ca="1">INDIRECT(ADDRESS(myRAND(1,C$2,C$8:C$9)+5,C$1))</f>
        <v>1</v>
      </c>
      <c r="D552" cm="1">
        <f t="array" aca="1" ref="D552" ca="1">INDIRECT(ADDRESS(myRAND(1,D$2,D$8:D$9)+5,D$1))</f>
        <v>1</v>
      </c>
      <c r="E552" cm="1">
        <f t="array" aca="1" ref="E552" ca="1">INDIRECT(ADDRESS(myRAND(1,E$2,E$8:E$9)+5,E$1))</f>
        <v>0</v>
      </c>
      <c r="F552" cm="1">
        <f t="array" aca="1" ref="F552" ca="1">INDIRECT(ADDRESS(myRAND(1,F$2,F$8:F$9)+5,F$1))</f>
        <v>0</v>
      </c>
      <c r="G552" cm="1">
        <f t="array" aca="1" ref="G552" ca="1">INDIRECT(ADDRESS(myRAND(1,G$2,G$8:G$9)+5,G$1))</f>
        <v>0</v>
      </c>
      <c r="H552" cm="1">
        <f t="array" aca="1" ref="H552" ca="1">INDIRECT(ADDRESS(myRAND(1,H$2,H$8:H$9)+5,H$1))</f>
        <v>0</v>
      </c>
      <c r="I552" cm="1">
        <f t="array" aca="1" ref="I552" ca="1">INDIRECT(ADDRESS(myRAND(1,I$2,I$8:I$9)+5,I$1))</f>
        <v>0</v>
      </c>
      <c r="J552">
        <f t="shared" ca="1" si="88"/>
        <v>11</v>
      </c>
      <c r="K552">
        <f t="shared" ca="1" si="88"/>
        <v>220</v>
      </c>
      <c r="L552" s="3">
        <f t="shared" ca="1" si="90"/>
        <v>2</v>
      </c>
      <c r="M552" s="13">
        <f t="shared" ca="1" si="91"/>
        <v>0.19940775684866852</v>
      </c>
      <c r="N552">
        <f t="shared" ca="1" si="92"/>
        <v>-1.39</v>
      </c>
      <c r="O552">
        <f t="shared" ca="1" si="93"/>
        <v>0</v>
      </c>
      <c r="P552">
        <f t="shared" ca="1" si="94"/>
        <v>0</v>
      </c>
      <c r="Q552">
        <f t="shared" ca="1" si="95"/>
        <v>1</v>
      </c>
      <c r="R552">
        <f t="shared" ca="1" si="96"/>
        <v>0</v>
      </c>
      <c r="S552">
        <f t="shared" ca="1" si="97"/>
        <v>0</v>
      </c>
      <c r="T552" s="17">
        <f t="shared" ca="1" si="98"/>
        <v>2.5147619047619045</v>
      </c>
    </row>
    <row r="553" spans="2:20" x14ac:dyDescent="0.3">
      <c r="B553">
        <f t="shared" ca="1" si="89"/>
        <v>58</v>
      </c>
      <c r="C553" cm="1">
        <f t="array" aca="1" ref="C553" ca="1">INDIRECT(ADDRESS(myRAND(1,C$2,C$8:C$9)+5,C$1))</f>
        <v>0</v>
      </c>
      <c r="D553" cm="1">
        <f t="array" aca="1" ref="D553" ca="1">INDIRECT(ADDRESS(myRAND(1,D$2,D$8:D$9)+5,D$1))</f>
        <v>0</v>
      </c>
      <c r="E553" cm="1">
        <f t="array" aca="1" ref="E553" ca="1">INDIRECT(ADDRESS(myRAND(1,E$2,E$8:E$9)+5,E$1))</f>
        <v>0</v>
      </c>
      <c r="F553" cm="1">
        <f t="array" aca="1" ref="F553" ca="1">INDIRECT(ADDRESS(myRAND(1,F$2,F$8:F$9)+5,F$1))</f>
        <v>0</v>
      </c>
      <c r="G553" cm="1">
        <f t="array" aca="1" ref="G553" ca="1">INDIRECT(ADDRESS(myRAND(1,G$2,G$8:G$9)+5,G$1))</f>
        <v>1</v>
      </c>
      <c r="H553" cm="1">
        <f t="array" aca="1" ref="H553" ca="1">INDIRECT(ADDRESS(myRAND(1,H$2,H$8:H$9)+5,H$1))</f>
        <v>1</v>
      </c>
      <c r="I553" cm="1">
        <f t="array" aca="1" ref="I553" ca="1">INDIRECT(ADDRESS(myRAND(1,I$2,I$8:I$9)+5,I$1))</f>
        <v>0</v>
      </c>
      <c r="J553">
        <f t="shared" ca="1" si="88"/>
        <v>13</v>
      </c>
      <c r="K553">
        <f t="shared" ca="1" si="88"/>
        <v>203</v>
      </c>
      <c r="L553" s="3">
        <f t="shared" ca="1" si="90"/>
        <v>1</v>
      </c>
      <c r="M553" s="13">
        <f t="shared" ca="1" si="91"/>
        <v>0.11405238127979084</v>
      </c>
      <c r="N553">
        <f t="shared" ca="1" si="92"/>
        <v>-2.0500000000000003</v>
      </c>
      <c r="O553">
        <f t="shared" ca="1" si="93"/>
        <v>0</v>
      </c>
      <c r="P553">
        <f t="shared" ca="1" si="94"/>
        <v>0</v>
      </c>
      <c r="Q553">
        <f t="shared" ca="1" si="95"/>
        <v>0</v>
      </c>
      <c r="R553">
        <f t="shared" ca="1" si="96"/>
        <v>0</v>
      </c>
      <c r="S553">
        <f t="shared" ca="1" si="97"/>
        <v>2</v>
      </c>
      <c r="T553" s="17">
        <f t="shared" ca="1" si="98"/>
        <v>1.7371428571428571</v>
      </c>
    </row>
    <row r="554" spans="2:20" x14ac:dyDescent="0.3">
      <c r="B554">
        <f t="shared" ca="1" si="89"/>
        <v>54</v>
      </c>
      <c r="C554" cm="1">
        <f t="array" aca="1" ref="C554" ca="1">INDIRECT(ADDRESS(myRAND(1,C$2,C$8:C$9)+5,C$1))</f>
        <v>0</v>
      </c>
      <c r="D554" cm="1">
        <f t="array" aca="1" ref="D554" ca="1">INDIRECT(ADDRESS(myRAND(1,D$2,D$8:D$9)+5,D$1))</f>
        <v>0</v>
      </c>
      <c r="E554" cm="1">
        <f t="array" aca="1" ref="E554" ca="1">INDIRECT(ADDRESS(myRAND(1,E$2,E$8:E$9)+5,E$1))</f>
        <v>1</v>
      </c>
      <c r="F554" cm="1">
        <f t="array" aca="1" ref="F554" ca="1">INDIRECT(ADDRESS(myRAND(1,F$2,F$8:F$9)+5,F$1))</f>
        <v>1</v>
      </c>
      <c r="G554" cm="1">
        <f t="array" aca="1" ref="G554" ca="1">INDIRECT(ADDRESS(myRAND(1,G$2,G$8:G$9)+5,G$1))</f>
        <v>0</v>
      </c>
      <c r="H554" cm="1">
        <f t="array" aca="1" ref="H554" ca="1">INDIRECT(ADDRESS(myRAND(1,H$2,H$8:H$9)+5,H$1))</f>
        <v>0</v>
      </c>
      <c r="I554" cm="1">
        <f t="array" aca="1" ref="I554" ca="1">INDIRECT(ADDRESS(myRAND(1,I$2,I$8:I$9)+5,I$1))</f>
        <v>0</v>
      </c>
      <c r="J554">
        <f t="shared" ca="1" si="88"/>
        <v>17</v>
      </c>
      <c r="K554">
        <f t="shared" ca="1" si="88"/>
        <v>214</v>
      </c>
      <c r="L554" s="3">
        <f t="shared" ca="1" si="90"/>
        <v>3</v>
      </c>
      <c r="M554" s="13">
        <f t="shared" ca="1" si="91"/>
        <v>0.42311473886795364</v>
      </c>
      <c r="N554">
        <f t="shared" ca="1" si="92"/>
        <v>-0.31000000000000005</v>
      </c>
      <c r="O554">
        <f t="shared" ca="1" si="93"/>
        <v>0</v>
      </c>
      <c r="P554">
        <f t="shared" ca="1" si="94"/>
        <v>1</v>
      </c>
      <c r="Q554">
        <f t="shared" ca="1" si="95"/>
        <v>0</v>
      </c>
      <c r="R554">
        <f t="shared" ca="1" si="96"/>
        <v>0</v>
      </c>
      <c r="S554">
        <f t="shared" ca="1" si="97"/>
        <v>0</v>
      </c>
      <c r="T554" s="17">
        <f t="shared" ca="1" si="98"/>
        <v>2.0161904761904763</v>
      </c>
    </row>
    <row r="555" spans="2:20" x14ac:dyDescent="0.3">
      <c r="B555">
        <f t="shared" ca="1" si="89"/>
        <v>62</v>
      </c>
      <c r="C555" cm="1">
        <f t="array" aca="1" ref="C555" ca="1">INDIRECT(ADDRESS(myRAND(1,C$2,C$8:C$9)+5,C$1))</f>
        <v>0</v>
      </c>
      <c r="D555" cm="1">
        <f t="array" aca="1" ref="D555" ca="1">INDIRECT(ADDRESS(myRAND(1,D$2,D$8:D$9)+5,D$1))</f>
        <v>1</v>
      </c>
      <c r="E555" cm="1">
        <f t="array" aca="1" ref="E555" ca="1">INDIRECT(ADDRESS(myRAND(1,E$2,E$8:E$9)+5,E$1))</f>
        <v>1</v>
      </c>
      <c r="F555" cm="1">
        <f t="array" aca="1" ref="F555" ca="1">INDIRECT(ADDRESS(myRAND(1,F$2,F$8:F$9)+5,F$1))</f>
        <v>1</v>
      </c>
      <c r="G555" cm="1">
        <f t="array" aca="1" ref="G555" ca="1">INDIRECT(ADDRESS(myRAND(1,G$2,G$8:G$9)+5,G$1))</f>
        <v>0</v>
      </c>
      <c r="H555" cm="1">
        <f t="array" aca="1" ref="H555" ca="1">INDIRECT(ADDRESS(myRAND(1,H$2,H$8:H$9)+5,H$1))</f>
        <v>0</v>
      </c>
      <c r="I555" cm="1">
        <f t="array" aca="1" ref="I555" ca="1">INDIRECT(ADDRESS(myRAND(1,I$2,I$8:I$9)+5,I$1))</f>
        <v>1</v>
      </c>
      <c r="J555">
        <f t="shared" ca="1" si="88"/>
        <v>13</v>
      </c>
      <c r="K555">
        <f t="shared" ca="1" si="88"/>
        <v>175</v>
      </c>
      <c r="L555" s="3">
        <f t="shared" ca="1" si="90"/>
        <v>3</v>
      </c>
      <c r="M555" s="13">
        <f t="shared" ca="1" si="91"/>
        <v>0.22270013882530884</v>
      </c>
      <c r="N555">
        <f t="shared" ca="1" si="92"/>
        <v>-1.25</v>
      </c>
      <c r="O555">
        <f t="shared" ca="1" si="93"/>
        <v>1</v>
      </c>
      <c r="P555">
        <f t="shared" ca="1" si="94"/>
        <v>0</v>
      </c>
      <c r="Q555">
        <f t="shared" ca="1" si="95"/>
        <v>0</v>
      </c>
      <c r="R555">
        <f t="shared" ca="1" si="96"/>
        <v>0</v>
      </c>
      <c r="S555">
        <f t="shared" ca="1" si="97"/>
        <v>1</v>
      </c>
      <c r="T555" s="17">
        <f t="shared" ca="1" si="98"/>
        <v>4.6438095238095238</v>
      </c>
    </row>
    <row r="556" spans="2:20" x14ac:dyDescent="0.3">
      <c r="B556">
        <f t="shared" ca="1" si="89"/>
        <v>40</v>
      </c>
      <c r="C556" cm="1">
        <f t="array" aca="1" ref="C556" ca="1">INDIRECT(ADDRESS(myRAND(1,C$2,C$8:C$9)+5,C$1))</f>
        <v>0</v>
      </c>
      <c r="D556" cm="1">
        <f t="array" aca="1" ref="D556" ca="1">INDIRECT(ADDRESS(myRAND(1,D$2,D$8:D$9)+5,D$1))</f>
        <v>0</v>
      </c>
      <c r="E556" cm="1">
        <f t="array" aca="1" ref="E556" ca="1">INDIRECT(ADDRESS(myRAND(1,E$2,E$8:E$9)+5,E$1))</f>
        <v>0</v>
      </c>
      <c r="F556" cm="1">
        <f t="array" aca="1" ref="F556" ca="1">INDIRECT(ADDRESS(myRAND(1,F$2,F$8:F$9)+5,F$1))</f>
        <v>1</v>
      </c>
      <c r="G556" cm="1">
        <f t="array" aca="1" ref="G556" ca="1">INDIRECT(ADDRESS(myRAND(1,G$2,G$8:G$9)+5,G$1))</f>
        <v>0</v>
      </c>
      <c r="H556" cm="1">
        <f t="array" aca="1" ref="H556" ca="1">INDIRECT(ADDRESS(myRAND(1,H$2,H$8:H$9)+5,H$1))</f>
        <v>0</v>
      </c>
      <c r="I556" cm="1">
        <f t="array" aca="1" ref="I556" ca="1">INDIRECT(ADDRESS(myRAND(1,I$2,I$8:I$9)+5,I$1))</f>
        <v>0</v>
      </c>
      <c r="J556">
        <f t="shared" ca="1" si="88"/>
        <v>16</v>
      </c>
      <c r="K556">
        <f t="shared" ca="1" si="88"/>
        <v>215</v>
      </c>
      <c r="L556" s="3">
        <f t="shared" ca="1" si="90"/>
        <v>1</v>
      </c>
      <c r="M556" s="13">
        <f t="shared" ca="1" si="91"/>
        <v>5.8967013464791759E-2</v>
      </c>
      <c r="N556">
        <f t="shared" ca="1" si="92"/>
        <v>-2.77</v>
      </c>
      <c r="O556">
        <f t="shared" ca="1" si="93"/>
        <v>0</v>
      </c>
      <c r="P556">
        <f t="shared" ca="1" si="94"/>
        <v>0</v>
      </c>
      <c r="Q556">
        <f t="shared" ca="1" si="95"/>
        <v>1</v>
      </c>
      <c r="R556">
        <f t="shared" ca="1" si="96"/>
        <v>0</v>
      </c>
      <c r="S556">
        <f t="shared" ca="1" si="97"/>
        <v>0</v>
      </c>
      <c r="T556" s="17">
        <f t="shared" ca="1" si="98"/>
        <v>1.8142857142857143</v>
      </c>
    </row>
    <row r="557" spans="2:20" x14ac:dyDescent="0.3">
      <c r="B557">
        <f t="shared" ca="1" si="89"/>
        <v>56</v>
      </c>
      <c r="C557" cm="1">
        <f t="array" aca="1" ref="C557" ca="1">INDIRECT(ADDRESS(myRAND(1,C$2,C$8:C$9)+5,C$1))</f>
        <v>0</v>
      </c>
      <c r="D557" cm="1">
        <f t="array" aca="1" ref="D557" ca="1">INDIRECT(ADDRESS(myRAND(1,D$2,D$8:D$9)+5,D$1))</f>
        <v>0</v>
      </c>
      <c r="E557" cm="1">
        <f t="array" aca="1" ref="E557" ca="1">INDIRECT(ADDRESS(myRAND(1,E$2,E$8:E$9)+5,E$1))</f>
        <v>1</v>
      </c>
      <c r="F557" cm="1">
        <f t="array" aca="1" ref="F557" ca="1">INDIRECT(ADDRESS(myRAND(1,F$2,F$8:F$9)+5,F$1))</f>
        <v>1</v>
      </c>
      <c r="G557" cm="1">
        <f t="array" aca="1" ref="G557" ca="1">INDIRECT(ADDRESS(myRAND(1,G$2,G$8:G$9)+5,G$1))</f>
        <v>0</v>
      </c>
      <c r="H557" cm="1">
        <f t="array" aca="1" ref="H557" ca="1">INDIRECT(ADDRESS(myRAND(1,H$2,H$8:H$9)+5,H$1))</f>
        <v>1</v>
      </c>
      <c r="I557" cm="1">
        <f t="array" aca="1" ref="I557" ca="1">INDIRECT(ADDRESS(myRAND(1,I$2,I$8:I$9)+5,I$1))</f>
        <v>0</v>
      </c>
      <c r="J557">
        <f t="shared" ca="1" si="88"/>
        <v>8</v>
      </c>
      <c r="K557">
        <f t="shared" ca="1" si="88"/>
        <v>245</v>
      </c>
      <c r="L557" s="3">
        <f t="shared" ca="1" si="90"/>
        <v>3</v>
      </c>
      <c r="M557" s="13">
        <f t="shared" ca="1" si="91"/>
        <v>0.44275214540144436</v>
      </c>
      <c r="N557">
        <f t="shared" ca="1" si="92"/>
        <v>-0.22999999999999998</v>
      </c>
      <c r="O557">
        <f t="shared" ca="1" si="93"/>
        <v>0</v>
      </c>
      <c r="P557">
        <f t="shared" ca="1" si="94"/>
        <v>1</v>
      </c>
      <c r="Q557">
        <f t="shared" ca="1" si="95"/>
        <v>0</v>
      </c>
      <c r="R557">
        <f t="shared" ca="1" si="96"/>
        <v>0</v>
      </c>
      <c r="S557">
        <f t="shared" ca="1" si="97"/>
        <v>1</v>
      </c>
      <c r="T557" s="17">
        <f t="shared" ca="1" si="98"/>
        <v>1.5838095238095238</v>
      </c>
    </row>
    <row r="558" spans="2:20" x14ac:dyDescent="0.3">
      <c r="B558">
        <f t="shared" ca="1" si="89"/>
        <v>45</v>
      </c>
      <c r="C558" cm="1">
        <f t="array" aca="1" ref="C558" ca="1">INDIRECT(ADDRESS(myRAND(1,C$2,C$8:C$9)+5,C$1))</f>
        <v>0</v>
      </c>
      <c r="D558" cm="1">
        <f t="array" aca="1" ref="D558" ca="1">INDIRECT(ADDRESS(myRAND(1,D$2,D$8:D$9)+5,D$1))</f>
        <v>1</v>
      </c>
      <c r="E558" cm="1">
        <f t="array" aca="1" ref="E558" ca="1">INDIRECT(ADDRESS(myRAND(1,E$2,E$8:E$9)+5,E$1))</f>
        <v>0</v>
      </c>
      <c r="F558" cm="1">
        <f t="array" aca="1" ref="F558" ca="1">INDIRECT(ADDRESS(myRAND(1,F$2,F$8:F$9)+5,F$1))</f>
        <v>0</v>
      </c>
      <c r="G558" cm="1">
        <f t="array" aca="1" ref="G558" ca="1">INDIRECT(ADDRESS(myRAND(1,G$2,G$8:G$9)+5,G$1))</f>
        <v>0</v>
      </c>
      <c r="H558" cm="1">
        <f t="array" aca="1" ref="H558" ca="1">INDIRECT(ADDRESS(myRAND(1,H$2,H$8:H$9)+5,H$1))</f>
        <v>1</v>
      </c>
      <c r="I558" cm="1">
        <f t="array" aca="1" ref="I558" ca="1">INDIRECT(ADDRESS(myRAND(1,I$2,I$8:I$9)+5,I$1))</f>
        <v>0</v>
      </c>
      <c r="J558">
        <f t="shared" ca="1" si="88"/>
        <v>19</v>
      </c>
      <c r="K558">
        <f t="shared" ca="1" si="88"/>
        <v>196</v>
      </c>
      <c r="L558" s="3">
        <f t="shared" ca="1" si="90"/>
        <v>1</v>
      </c>
      <c r="M558" s="13">
        <f t="shared" ca="1" si="91"/>
        <v>7.1094304084287144E-2</v>
      </c>
      <c r="N558">
        <f t="shared" ca="1" si="92"/>
        <v>-2.5700000000000003</v>
      </c>
      <c r="O558">
        <f t="shared" ca="1" si="93"/>
        <v>0</v>
      </c>
      <c r="P558">
        <f t="shared" ca="1" si="94"/>
        <v>0</v>
      </c>
      <c r="Q558">
        <f t="shared" ca="1" si="95"/>
        <v>1</v>
      </c>
      <c r="R558">
        <f t="shared" ca="1" si="96"/>
        <v>0</v>
      </c>
      <c r="S558">
        <f t="shared" ca="1" si="97"/>
        <v>1</v>
      </c>
      <c r="T558" s="17">
        <f t="shared" ca="1" si="98"/>
        <v>1.9738095238095237</v>
      </c>
    </row>
    <row r="559" spans="2:20" x14ac:dyDescent="0.3">
      <c r="B559">
        <f t="shared" ca="1" si="89"/>
        <v>62</v>
      </c>
      <c r="C559" cm="1">
        <f t="array" aca="1" ref="C559" ca="1">INDIRECT(ADDRESS(myRAND(1,C$2,C$8:C$9)+5,C$1))</f>
        <v>0</v>
      </c>
      <c r="D559" cm="1">
        <f t="array" aca="1" ref="D559" ca="1">INDIRECT(ADDRESS(myRAND(1,D$2,D$8:D$9)+5,D$1))</f>
        <v>0</v>
      </c>
      <c r="E559" cm="1">
        <f t="array" aca="1" ref="E559" ca="1">INDIRECT(ADDRESS(myRAND(1,E$2,E$8:E$9)+5,E$1))</f>
        <v>1</v>
      </c>
      <c r="F559" cm="1">
        <f t="array" aca="1" ref="F559" ca="1">INDIRECT(ADDRESS(myRAND(1,F$2,F$8:F$9)+5,F$1))</f>
        <v>1</v>
      </c>
      <c r="G559" cm="1">
        <f t="array" aca="1" ref="G559" ca="1">INDIRECT(ADDRESS(myRAND(1,G$2,G$8:G$9)+5,G$1))</f>
        <v>0</v>
      </c>
      <c r="H559" cm="1">
        <f t="array" aca="1" ref="H559" ca="1">INDIRECT(ADDRESS(myRAND(1,H$2,H$8:H$9)+5,H$1))</f>
        <v>0</v>
      </c>
      <c r="I559" cm="1">
        <f t="array" aca="1" ref="I559" ca="1">INDIRECT(ADDRESS(myRAND(1,I$2,I$8:I$9)+5,I$1))</f>
        <v>1</v>
      </c>
      <c r="J559">
        <f t="shared" ca="1" si="88"/>
        <v>17</v>
      </c>
      <c r="K559">
        <f t="shared" ca="1" si="88"/>
        <v>231</v>
      </c>
      <c r="L559" s="3">
        <f t="shared" ca="1" si="90"/>
        <v>3</v>
      </c>
      <c r="M559" s="13">
        <f t="shared" ca="1" si="91"/>
        <v>0.50249997916687494</v>
      </c>
      <c r="N559">
        <f t="shared" ca="1" si="92"/>
        <v>9.9999999999997868E-3</v>
      </c>
      <c r="O559">
        <f t="shared" ca="1" si="93"/>
        <v>0</v>
      </c>
      <c r="P559">
        <f t="shared" ca="1" si="94"/>
        <v>1</v>
      </c>
      <c r="Q559">
        <f t="shared" ca="1" si="95"/>
        <v>0</v>
      </c>
      <c r="R559">
        <f t="shared" ca="1" si="96"/>
        <v>0</v>
      </c>
      <c r="S559">
        <f t="shared" ca="1" si="97"/>
        <v>1</v>
      </c>
      <c r="T559" s="17">
        <f t="shared" ca="1" si="98"/>
        <v>5.177142857142857</v>
      </c>
    </row>
    <row r="560" spans="2:20" x14ac:dyDescent="0.3">
      <c r="B560">
        <f t="shared" ca="1" si="89"/>
        <v>47</v>
      </c>
      <c r="C560" cm="1">
        <f t="array" aca="1" ref="C560" ca="1">INDIRECT(ADDRESS(myRAND(1,C$2,C$8:C$9)+5,C$1))</f>
        <v>0</v>
      </c>
      <c r="D560" cm="1">
        <f t="array" aca="1" ref="D560" ca="1">INDIRECT(ADDRESS(myRAND(1,D$2,D$8:D$9)+5,D$1))</f>
        <v>0</v>
      </c>
      <c r="E560" cm="1">
        <f t="array" aca="1" ref="E560" ca="1">INDIRECT(ADDRESS(myRAND(1,E$2,E$8:E$9)+5,E$1))</f>
        <v>1</v>
      </c>
      <c r="F560" cm="1">
        <f t="array" aca="1" ref="F560" ca="1">INDIRECT(ADDRESS(myRAND(1,F$2,F$8:F$9)+5,F$1))</f>
        <v>0</v>
      </c>
      <c r="G560" cm="1">
        <f t="array" aca="1" ref="G560" ca="1">INDIRECT(ADDRESS(myRAND(1,G$2,G$8:G$9)+5,G$1))</f>
        <v>0</v>
      </c>
      <c r="H560" cm="1">
        <f t="array" aca="1" ref="H560" ca="1">INDIRECT(ADDRESS(myRAND(1,H$2,H$8:H$9)+5,H$1))</f>
        <v>1</v>
      </c>
      <c r="I560" cm="1">
        <f t="array" aca="1" ref="I560" ca="1">INDIRECT(ADDRESS(myRAND(1,I$2,I$8:I$9)+5,I$1))</f>
        <v>0</v>
      </c>
      <c r="J560">
        <f t="shared" ca="1" si="88"/>
        <v>18</v>
      </c>
      <c r="K560">
        <f t="shared" ca="1" si="88"/>
        <v>215</v>
      </c>
      <c r="L560" s="3">
        <f t="shared" ca="1" si="90"/>
        <v>1</v>
      </c>
      <c r="M560" s="13">
        <f t="shared" ca="1" si="91"/>
        <v>7.6562197351812147E-2</v>
      </c>
      <c r="N560">
        <f t="shared" ca="1" si="92"/>
        <v>-2.4900000000000002</v>
      </c>
      <c r="O560">
        <f t="shared" ca="1" si="93"/>
        <v>0</v>
      </c>
      <c r="P560">
        <f t="shared" ca="1" si="94"/>
        <v>0</v>
      </c>
      <c r="Q560">
        <f t="shared" ca="1" si="95"/>
        <v>1</v>
      </c>
      <c r="R560">
        <f t="shared" ca="1" si="96"/>
        <v>0</v>
      </c>
      <c r="S560">
        <f t="shared" ca="1" si="97"/>
        <v>1</v>
      </c>
      <c r="T560" s="17">
        <f t="shared" ca="1" si="98"/>
        <v>2.0176190476190476</v>
      </c>
    </row>
    <row r="561" spans="2:20" x14ac:dyDescent="0.3">
      <c r="B561">
        <f t="shared" ca="1" si="89"/>
        <v>53</v>
      </c>
      <c r="C561" cm="1">
        <f t="array" aca="1" ref="C561" ca="1">INDIRECT(ADDRESS(myRAND(1,C$2,C$8:C$9)+5,C$1))</f>
        <v>0</v>
      </c>
      <c r="D561" cm="1">
        <f t="array" aca="1" ref="D561" ca="1">INDIRECT(ADDRESS(myRAND(1,D$2,D$8:D$9)+5,D$1))</f>
        <v>0</v>
      </c>
      <c r="E561" cm="1">
        <f t="array" aca="1" ref="E561" ca="1">INDIRECT(ADDRESS(myRAND(1,E$2,E$8:E$9)+5,E$1))</f>
        <v>1</v>
      </c>
      <c r="F561" cm="1">
        <f t="array" aca="1" ref="F561" ca="1">INDIRECT(ADDRESS(myRAND(1,F$2,F$8:F$9)+5,F$1))</f>
        <v>0</v>
      </c>
      <c r="G561" cm="1">
        <f t="array" aca="1" ref="G561" ca="1">INDIRECT(ADDRESS(myRAND(1,G$2,G$8:G$9)+5,G$1))</f>
        <v>0</v>
      </c>
      <c r="H561" cm="1">
        <f t="array" aca="1" ref="H561" ca="1">INDIRECT(ADDRESS(myRAND(1,H$2,H$8:H$9)+5,H$1))</f>
        <v>0</v>
      </c>
      <c r="I561" cm="1">
        <f t="array" aca="1" ref="I561" ca="1">INDIRECT(ADDRESS(myRAND(1,I$2,I$8:I$9)+5,I$1))</f>
        <v>0</v>
      </c>
      <c r="J561">
        <f t="shared" ca="1" si="88"/>
        <v>13</v>
      </c>
      <c r="K561">
        <f t="shared" ca="1" si="88"/>
        <v>198</v>
      </c>
      <c r="L561" s="3">
        <f t="shared" ca="1" si="90"/>
        <v>1</v>
      </c>
      <c r="M561" s="13">
        <f t="shared" ca="1" si="91"/>
        <v>9.534946489910949E-2</v>
      </c>
      <c r="N561">
        <f t="shared" ca="1" si="92"/>
        <v>-2.25</v>
      </c>
      <c r="O561">
        <f t="shared" ca="1" si="93"/>
        <v>0</v>
      </c>
      <c r="P561">
        <f t="shared" ca="1" si="94"/>
        <v>0</v>
      </c>
      <c r="Q561">
        <f t="shared" ca="1" si="95"/>
        <v>1</v>
      </c>
      <c r="R561">
        <f t="shared" ca="1" si="96"/>
        <v>0</v>
      </c>
      <c r="S561">
        <f t="shared" ca="1" si="97"/>
        <v>0</v>
      </c>
      <c r="T561" s="17">
        <f t="shared" ca="1" si="98"/>
        <v>1.6633333333333333</v>
      </c>
    </row>
  </sheetData>
  <mergeCells count="3">
    <mergeCell ref="B3:E3"/>
    <mergeCell ref="F3:H3"/>
    <mergeCell ref="I3:J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4</vt:i4>
      </vt:variant>
    </vt:vector>
  </HeadingPairs>
  <TitlesOfParts>
    <vt:vector size="4" baseType="lpstr">
      <vt:lpstr>OUTPUT</vt:lpstr>
      <vt:lpstr>Info</vt:lpstr>
      <vt:lpstr>Estatistica</vt:lpstr>
      <vt:lpstr>Dataset (sem valores de texto)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Mora</dc:creator>
  <cp:lastModifiedBy>Daniel</cp:lastModifiedBy>
  <dcterms:created xsi:type="dcterms:W3CDTF">2022-04-07T14:58:08Z</dcterms:created>
  <dcterms:modified xsi:type="dcterms:W3CDTF">2023-05-30T10:10:56Z</dcterms:modified>
</cp:coreProperties>
</file>